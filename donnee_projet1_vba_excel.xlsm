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PC\Desktop\"/>
    </mc:Choice>
  </mc:AlternateContent>
  <xr:revisionPtr revIDLastSave="0" documentId="13_ncr:1_{1E93F849-F533-4A9A-9296-786EF59A5E22}" xr6:coauthVersionLast="41" xr6:coauthVersionMax="41" xr10:uidLastSave="{00000000-0000-0000-0000-000000000000}"/>
  <bookViews>
    <workbookView xWindow="-120" yWindow="-120" windowWidth="20730" windowHeight="11160" firstSheet="2" activeTab="6" xr2:uid="{00000000-000D-0000-FFFF-FFFF00000000}"/>
  </bookViews>
  <sheets>
    <sheet name="heatmap" sheetId="6" r:id="rId1"/>
    <sheet name="appreciation dossiers" sheetId="7" r:id="rId2"/>
    <sheet name="A" sheetId="1" r:id="rId3"/>
    <sheet name="rejet zone A" sheetId="9" r:id="rId4"/>
    <sheet name="prediction zone A" sheetId="14" r:id="rId5"/>
    <sheet name="Rapport de solution 1" sheetId="17" r:id="rId6"/>
    <sheet name="Rapport de solution 2" sheetId="18" r:id="rId7"/>
    <sheet name="B" sheetId="2" r:id="rId8"/>
    <sheet name="rejet zone B" sheetId="16" r:id="rId9"/>
    <sheet name="prediction zone B" sheetId="10" r:id="rId10"/>
    <sheet name="C" sheetId="3" r:id="rId11"/>
    <sheet name="rejt zone C et prediction" sheetId="11" r:id="rId12"/>
    <sheet name="D" sheetId="4" r:id="rId13"/>
    <sheet name="rejet zone D et prediction" sheetId="8" r:id="rId14"/>
    <sheet name="E" sheetId="5" r:id="rId15"/>
    <sheet name="rejet zone E et prediction" sheetId="12" r:id="rId16"/>
  </sheets>
  <functionGroups builtInGroupCount="19"/>
  <definedNames>
    <definedName name="_xlnm._FilterDatabase" localSheetId="2" hidden="1">A!$A$1:$H$21</definedName>
    <definedName name="_xlnm._FilterDatabase" localSheetId="7" hidden="1">B!$A$1:$H$21</definedName>
    <definedName name="_xlnm._FilterDatabase" localSheetId="10" hidden="1">'C'!$A$1:$H$21</definedName>
    <definedName name="_xlnm._FilterDatabase" localSheetId="12" hidden="1">D!$A$1:$H$21</definedName>
    <definedName name="_xlnm._FilterDatabase" localSheetId="14" hidden="1">E!$A$1:$H$21</definedName>
    <definedName name="_xlnm._FilterDatabase" localSheetId="0" hidden="1">heatmap!$A$2:$E$21</definedName>
    <definedName name="solver_adj" localSheetId="2" hidden="1">A!$A$2,A!$B$2,A!$C$2,A!$D$2,A!$E$2,A!$F$2,A!$G$2</definedName>
    <definedName name="solver_adj" localSheetId="4" hidden="1">'prediction zone A'!$A$20:$G$20</definedName>
    <definedName name="solver_adj" localSheetId="9" hidden="1">'prediction zone B'!$A$9:$G$9</definedName>
    <definedName name="solver_adj" localSheetId="3" hidden="1">'rejet zone A'!$A$3,'rejet zone A'!$B$3,'rejet zone A'!$C$3,'rejet zone A'!$D$3,'rejet zone A'!$E$3,'rejet zone A'!$F$3,'rejet zone A'!$G$3</definedName>
    <definedName name="solver_adj" localSheetId="13" hidden="1">'rejet zone D et prediction'!$A$18:$G$18</definedName>
    <definedName name="solver_adj" localSheetId="15" hidden="1">'rejet zone E et prediction'!$A$26:$G$26</definedName>
    <definedName name="solver_adj" localSheetId="11" hidden="1">'rejt zone C et prediction'!$A$20:$G$20</definedName>
    <definedName name="solver_cvg" localSheetId="2" hidden="1">0.0001</definedName>
    <definedName name="solver_cvg" localSheetId="4" hidden="1">0.0001</definedName>
    <definedName name="solver_cvg" localSheetId="9" hidden="1">0.0001</definedName>
    <definedName name="solver_cvg" localSheetId="3" hidden="1">0.0001</definedName>
    <definedName name="solver_cvg" localSheetId="13" hidden="1">0.0001</definedName>
    <definedName name="solver_cvg" localSheetId="15" hidden="1">0.0001</definedName>
    <definedName name="solver_cvg" localSheetId="11" hidden="1">0.0001</definedName>
    <definedName name="solver_drv" localSheetId="2" hidden="1">2</definedName>
    <definedName name="solver_drv" localSheetId="4" hidden="1">1</definedName>
    <definedName name="solver_drv" localSheetId="9" hidden="1">1</definedName>
    <definedName name="solver_drv" localSheetId="3" hidden="1">1</definedName>
    <definedName name="solver_drv" localSheetId="13" hidden="1">1</definedName>
    <definedName name="solver_drv" localSheetId="15" hidden="1">1</definedName>
    <definedName name="solver_drv" localSheetId="11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4" hidden="1">1</definedName>
    <definedName name="solver_eng" localSheetId="9" hidden="1">1</definedName>
    <definedName name="solver_eng" localSheetId="3" hidden="1">1</definedName>
    <definedName name="solver_eng" localSheetId="13" hidden="1">1</definedName>
    <definedName name="solver_eng" localSheetId="15" hidden="1">1</definedName>
    <definedName name="solver_eng" localSheetId="11" hidden="1">1</definedName>
    <definedName name="solver_est" localSheetId="2" hidden="1">1</definedName>
    <definedName name="solver_est" localSheetId="4" hidden="1">1</definedName>
    <definedName name="solver_est" localSheetId="9" hidden="1">1</definedName>
    <definedName name="solver_est" localSheetId="3" hidden="1">1</definedName>
    <definedName name="solver_est" localSheetId="13" hidden="1">1</definedName>
    <definedName name="solver_est" localSheetId="15" hidden="1">1</definedName>
    <definedName name="solver_est" localSheetId="11" hidden="1">1</definedName>
    <definedName name="solver_itr" localSheetId="2" hidden="1">2147483647</definedName>
    <definedName name="solver_itr" localSheetId="4" hidden="1">2147483647</definedName>
    <definedName name="solver_itr" localSheetId="9" hidden="1">2147483647</definedName>
    <definedName name="solver_itr" localSheetId="3" hidden="1">2147483647</definedName>
    <definedName name="solver_itr" localSheetId="13" hidden="1">2147483647</definedName>
    <definedName name="solver_itr" localSheetId="15" hidden="1">2147483647</definedName>
    <definedName name="solver_itr" localSheetId="11" hidden="1">2147483647</definedName>
    <definedName name="solver_lhs1" localSheetId="2" hidden="1">A!$H$2</definedName>
    <definedName name="solver_lhs1" localSheetId="4" hidden="1">'prediction zone A'!$I$4</definedName>
    <definedName name="solver_lhs1" localSheetId="9" hidden="1">'prediction zone B'!$N$3</definedName>
    <definedName name="solver_lhs2" localSheetId="4" hidden="1">'prediction zone A'!$I$4</definedName>
    <definedName name="solver_lhs2" localSheetId="9" hidden="1">'prediction zone B'!$N$3</definedName>
    <definedName name="solver_mip" localSheetId="2" hidden="1">2147483647</definedName>
    <definedName name="solver_mip" localSheetId="4" hidden="1">2147483647</definedName>
    <definedName name="solver_mip" localSheetId="9" hidden="1">2147483647</definedName>
    <definedName name="solver_mip" localSheetId="3" hidden="1">2147483647</definedName>
    <definedName name="solver_mip" localSheetId="13" hidden="1">2147483647</definedName>
    <definedName name="solver_mip" localSheetId="15" hidden="1">2147483647</definedName>
    <definedName name="solver_mip" localSheetId="11" hidden="1">2147483647</definedName>
    <definedName name="solver_mni" localSheetId="2" hidden="1">30</definedName>
    <definedName name="solver_mni" localSheetId="4" hidden="1">30</definedName>
    <definedName name="solver_mni" localSheetId="9" hidden="1">30</definedName>
    <definedName name="solver_mni" localSheetId="3" hidden="1">30</definedName>
    <definedName name="solver_mni" localSheetId="13" hidden="1">30</definedName>
    <definedName name="solver_mni" localSheetId="15" hidden="1">30</definedName>
    <definedName name="solver_mni" localSheetId="11" hidden="1">30</definedName>
    <definedName name="solver_mrt" localSheetId="2" hidden="1">0.075</definedName>
    <definedName name="solver_mrt" localSheetId="4" hidden="1">0.075</definedName>
    <definedName name="solver_mrt" localSheetId="9" hidden="1">0.075</definedName>
    <definedName name="solver_mrt" localSheetId="3" hidden="1">0.075</definedName>
    <definedName name="solver_mrt" localSheetId="13" hidden="1">0.075</definedName>
    <definedName name="solver_mrt" localSheetId="15" hidden="1">0.075</definedName>
    <definedName name="solver_mrt" localSheetId="11" hidden="1">0.075</definedName>
    <definedName name="solver_msl" localSheetId="2" hidden="1">2</definedName>
    <definedName name="solver_msl" localSheetId="4" hidden="1">2</definedName>
    <definedName name="solver_msl" localSheetId="9" hidden="1">2</definedName>
    <definedName name="solver_msl" localSheetId="3" hidden="1">2</definedName>
    <definedName name="solver_msl" localSheetId="13" hidden="1">2</definedName>
    <definedName name="solver_msl" localSheetId="15" hidden="1">2</definedName>
    <definedName name="solver_msl" localSheetId="11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eg" localSheetId="4" hidden="1">1</definedName>
    <definedName name="solver_neg" localSheetId="9" hidden="1">1</definedName>
    <definedName name="solver_neg" localSheetId="3" hidden="1">1</definedName>
    <definedName name="solver_neg" localSheetId="13" hidden="1">1</definedName>
    <definedName name="solver_neg" localSheetId="15" hidden="1">1</definedName>
    <definedName name="solver_neg" localSheetId="11" hidden="1">1</definedName>
    <definedName name="solver_nod" localSheetId="2" hidden="1">2147483647</definedName>
    <definedName name="solver_nod" localSheetId="4" hidden="1">2147483647</definedName>
    <definedName name="solver_nod" localSheetId="9" hidden="1">2147483647</definedName>
    <definedName name="solver_nod" localSheetId="3" hidden="1">2147483647</definedName>
    <definedName name="solver_nod" localSheetId="13" hidden="1">2147483647</definedName>
    <definedName name="solver_nod" localSheetId="15" hidden="1">2147483647</definedName>
    <definedName name="solver_nod" localSheetId="11" hidden="1">2147483647</definedName>
    <definedName name="solver_num" localSheetId="2" hidden="1">1</definedName>
    <definedName name="solver_num" localSheetId="1" hidden="1">0</definedName>
    <definedName name="solver_num" localSheetId="0" hidden="1">0</definedName>
    <definedName name="solver_num" localSheetId="4" hidden="1">1</definedName>
    <definedName name="solver_num" localSheetId="9" hidden="1">0</definedName>
    <definedName name="solver_num" localSheetId="3" hidden="1">0</definedName>
    <definedName name="solver_num" localSheetId="13" hidden="1">0</definedName>
    <definedName name="solver_num" localSheetId="15" hidden="1">0</definedName>
    <definedName name="solver_num" localSheetId="11" hidden="1">0</definedName>
    <definedName name="solver_nwt" localSheetId="2" hidden="1">1</definedName>
    <definedName name="solver_nwt" localSheetId="4" hidden="1">1</definedName>
    <definedName name="solver_nwt" localSheetId="9" hidden="1">1</definedName>
    <definedName name="solver_nwt" localSheetId="3" hidden="1">1</definedName>
    <definedName name="solver_nwt" localSheetId="13" hidden="1">1</definedName>
    <definedName name="solver_nwt" localSheetId="15" hidden="1">1</definedName>
    <definedName name="solver_nwt" localSheetId="11" hidden="1">1</definedName>
    <definedName name="solver_opt" localSheetId="1" hidden="1">'appreciation dossiers'!$M$7</definedName>
    <definedName name="solver_opt" localSheetId="4" hidden="1">'prediction zone A'!$I$4</definedName>
    <definedName name="solver_opt" localSheetId="9" hidden="1">'prediction zone B'!$N$9</definedName>
    <definedName name="solver_opt" localSheetId="3" hidden="1">'rejet zone A'!$J$7</definedName>
    <definedName name="solver_opt" localSheetId="13" hidden="1">'rejet zone D et prediction'!$N$18</definedName>
    <definedName name="solver_opt" localSheetId="15" hidden="1">'rejet zone E et prediction'!$N$26</definedName>
    <definedName name="solver_opt" localSheetId="11" hidden="1">'rejt zone C et prediction'!$N$20</definedName>
    <definedName name="solver_pre" localSheetId="2" hidden="1">0.000001</definedName>
    <definedName name="solver_pre" localSheetId="4" hidden="1">0.000001</definedName>
    <definedName name="solver_pre" localSheetId="9" hidden="1">0.000001</definedName>
    <definedName name="solver_pre" localSheetId="3" hidden="1">0.000001</definedName>
    <definedName name="solver_pre" localSheetId="13" hidden="1">0.000001</definedName>
    <definedName name="solver_pre" localSheetId="15" hidden="1">0.000001</definedName>
    <definedName name="solver_pre" localSheetId="11" hidden="1">0.000001</definedName>
    <definedName name="solver_rbv" localSheetId="2" hidden="1">2</definedName>
    <definedName name="solver_rbv" localSheetId="4" hidden="1">1</definedName>
    <definedName name="solver_rbv" localSheetId="9" hidden="1">1</definedName>
    <definedName name="solver_rbv" localSheetId="3" hidden="1">1</definedName>
    <definedName name="solver_rbv" localSheetId="13" hidden="1">1</definedName>
    <definedName name="solver_rbv" localSheetId="15" hidden="1">1</definedName>
    <definedName name="solver_rbv" localSheetId="11" hidden="1">1</definedName>
    <definedName name="solver_rel1" localSheetId="2" hidden="1">1</definedName>
    <definedName name="solver_rel1" localSheetId="4" hidden="1">3</definedName>
    <definedName name="solver_rel1" localSheetId="9" hidden="1">3</definedName>
    <definedName name="solver_rel2" localSheetId="4" hidden="1">3</definedName>
    <definedName name="solver_rel2" localSheetId="9" hidden="1">3</definedName>
    <definedName name="solver_rhs1" localSheetId="2" hidden="1">A!$J$5</definedName>
    <definedName name="solver_rhs1" localSheetId="4" hidden="1">2.99</definedName>
    <definedName name="solver_rhs1" localSheetId="9" hidden="1">2.99</definedName>
    <definedName name="solver_rhs2" localSheetId="4" hidden="1">2.99</definedName>
    <definedName name="solver_rhs2" localSheetId="9" hidden="1">2.99</definedName>
    <definedName name="solver_rlx" localSheetId="2" hidden="1">2</definedName>
    <definedName name="solver_rlx" localSheetId="4" hidden="1">2</definedName>
    <definedName name="solver_rlx" localSheetId="9" hidden="1">2</definedName>
    <definedName name="solver_rlx" localSheetId="3" hidden="1">2</definedName>
    <definedName name="solver_rlx" localSheetId="13" hidden="1">2</definedName>
    <definedName name="solver_rlx" localSheetId="15" hidden="1">2</definedName>
    <definedName name="solver_rlx" localSheetId="11" hidden="1">2</definedName>
    <definedName name="solver_rsd" localSheetId="2" hidden="1">0</definedName>
    <definedName name="solver_rsd" localSheetId="4" hidden="1">0</definedName>
    <definedName name="solver_rsd" localSheetId="9" hidden="1">0</definedName>
    <definedName name="solver_rsd" localSheetId="3" hidden="1">0</definedName>
    <definedName name="solver_rsd" localSheetId="13" hidden="1">0</definedName>
    <definedName name="solver_rsd" localSheetId="15" hidden="1">0</definedName>
    <definedName name="solver_rsd" localSheetId="11" hidden="1">0</definedName>
    <definedName name="solver_scl" localSheetId="2" hidden="1">2</definedName>
    <definedName name="solver_scl" localSheetId="4" hidden="1">1</definedName>
    <definedName name="solver_scl" localSheetId="9" hidden="1">1</definedName>
    <definedName name="solver_scl" localSheetId="3" hidden="1">1</definedName>
    <definedName name="solver_scl" localSheetId="13" hidden="1">1</definedName>
    <definedName name="solver_scl" localSheetId="15" hidden="1">1</definedName>
    <definedName name="solver_scl" localSheetId="11" hidden="1">1</definedName>
    <definedName name="solver_sho" localSheetId="2" hidden="1">2</definedName>
    <definedName name="solver_sho" localSheetId="4" hidden="1">2</definedName>
    <definedName name="solver_sho" localSheetId="9" hidden="1">2</definedName>
    <definedName name="solver_sho" localSheetId="3" hidden="1">2</definedName>
    <definedName name="solver_sho" localSheetId="13" hidden="1">2</definedName>
    <definedName name="solver_sho" localSheetId="15" hidden="1">2</definedName>
    <definedName name="solver_sho" localSheetId="11" hidden="1">2</definedName>
    <definedName name="solver_ssz" localSheetId="2" hidden="1">100</definedName>
    <definedName name="solver_ssz" localSheetId="4" hidden="1">100</definedName>
    <definedName name="solver_ssz" localSheetId="9" hidden="1">100</definedName>
    <definedName name="solver_ssz" localSheetId="3" hidden="1">100</definedName>
    <definedName name="solver_ssz" localSheetId="13" hidden="1">100</definedName>
    <definedName name="solver_ssz" localSheetId="15" hidden="1">100</definedName>
    <definedName name="solver_ssz" localSheetId="11" hidden="1">100</definedName>
    <definedName name="solver_tim" localSheetId="2" hidden="1">2147483647</definedName>
    <definedName name="solver_tim" localSheetId="4" hidden="1">2147483647</definedName>
    <definedName name="solver_tim" localSheetId="9" hidden="1">2147483647</definedName>
    <definedName name="solver_tim" localSheetId="3" hidden="1">2147483647</definedName>
    <definedName name="solver_tim" localSheetId="13" hidden="1">2147483647</definedName>
    <definedName name="solver_tim" localSheetId="15" hidden="1">2147483647</definedName>
    <definedName name="solver_tim" localSheetId="11" hidden="1">2147483647</definedName>
    <definedName name="solver_tol" localSheetId="2" hidden="1">0.01</definedName>
    <definedName name="solver_tol" localSheetId="4" hidden="1">0.01</definedName>
    <definedName name="solver_tol" localSheetId="9" hidden="1">0.01</definedName>
    <definedName name="solver_tol" localSheetId="3" hidden="1">0.01</definedName>
    <definedName name="solver_tol" localSheetId="13" hidden="1">0.01</definedName>
    <definedName name="solver_tol" localSheetId="15" hidden="1">0.01</definedName>
    <definedName name="solver_tol" localSheetId="11" hidden="1">0.01</definedName>
    <definedName name="solver_typ" localSheetId="2" hidden="1">3</definedName>
    <definedName name="solver_typ" localSheetId="1" hidden="1">1</definedName>
    <definedName name="solver_typ" localSheetId="0" hidden="1">3</definedName>
    <definedName name="solver_typ" localSheetId="4" hidden="1">3</definedName>
    <definedName name="solver_typ" localSheetId="9" hidden="1">3</definedName>
    <definedName name="solver_typ" localSheetId="3" hidden="1">3</definedName>
    <definedName name="solver_typ" localSheetId="13" hidden="1">3</definedName>
    <definedName name="solver_typ" localSheetId="15" hidden="1">3</definedName>
    <definedName name="solver_typ" localSheetId="11" hidden="1">3</definedName>
    <definedName name="solver_val" localSheetId="2" hidden="1">2.99</definedName>
    <definedName name="solver_val" localSheetId="1" hidden="1">0</definedName>
    <definedName name="solver_val" localSheetId="0" hidden="1">"2.99"</definedName>
    <definedName name="solver_val" localSheetId="4" hidden="1">2.99</definedName>
    <definedName name="solver_val" localSheetId="9" hidden="1">2.99</definedName>
    <definedName name="solver_val" localSheetId="3" hidden="1">2.99</definedName>
    <definedName name="solver_val" localSheetId="13" hidden="1">2.99</definedName>
    <definedName name="solver_val" localSheetId="15" hidden="1">2.99</definedName>
    <definedName name="solver_val" localSheetId="11" hidden="1">2.99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4" hidden="1">3</definedName>
    <definedName name="solver_ver" localSheetId="9" hidden="1">3</definedName>
    <definedName name="solver_ver" localSheetId="3" hidden="1">3</definedName>
    <definedName name="solver_ver" localSheetId="13" hidden="1">3</definedName>
    <definedName name="solver_ver" localSheetId="15" hidden="1">3</definedName>
    <definedName name="solver_ver" localSheetId="1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8" i="12" l="1"/>
  <c r="M19" i="12"/>
  <c r="M20" i="12"/>
  <c r="M21" i="12"/>
  <c r="M22" i="12"/>
  <c r="M23" i="12"/>
  <c r="M24" i="12"/>
  <c r="M25" i="12"/>
  <c r="M26" i="12"/>
  <c r="M17" i="12"/>
  <c r="L18" i="12"/>
  <c r="L19" i="12"/>
  <c r="L20" i="12"/>
  <c r="L21" i="12"/>
  <c r="L22" i="12"/>
  <c r="L23" i="12"/>
  <c r="L24" i="12"/>
  <c r="L25" i="12"/>
  <c r="L26" i="12"/>
  <c r="L17" i="12"/>
  <c r="K18" i="12"/>
  <c r="K19" i="12"/>
  <c r="K20" i="12"/>
  <c r="K21" i="12"/>
  <c r="K22" i="12"/>
  <c r="K23" i="12"/>
  <c r="K24" i="12"/>
  <c r="K25" i="12"/>
  <c r="K26" i="12"/>
  <c r="K17" i="12"/>
  <c r="J18" i="12"/>
  <c r="J19" i="12"/>
  <c r="J20" i="12"/>
  <c r="J21" i="12"/>
  <c r="J22" i="12"/>
  <c r="J23" i="12"/>
  <c r="J24" i="12"/>
  <c r="J25" i="12"/>
  <c r="J26" i="12"/>
  <c r="J17" i="12"/>
  <c r="I18" i="12"/>
  <c r="I19" i="12"/>
  <c r="I20" i="12"/>
  <c r="I21" i="12"/>
  <c r="I22" i="12"/>
  <c r="I23" i="12"/>
  <c r="I24" i="12"/>
  <c r="I25" i="12"/>
  <c r="I26" i="12"/>
  <c r="I17" i="12"/>
  <c r="M14" i="8"/>
  <c r="M15" i="8"/>
  <c r="M16" i="8"/>
  <c r="M17" i="8"/>
  <c r="M18" i="8"/>
  <c r="M13" i="8"/>
  <c r="L14" i="8"/>
  <c r="L15" i="8"/>
  <c r="L16" i="8"/>
  <c r="L17" i="8"/>
  <c r="L18" i="8"/>
  <c r="L13" i="8"/>
  <c r="K14" i="8"/>
  <c r="K15" i="8"/>
  <c r="K16" i="8"/>
  <c r="K17" i="8"/>
  <c r="K18" i="8"/>
  <c r="K13" i="8"/>
  <c r="J14" i="8"/>
  <c r="J15" i="8"/>
  <c r="J16" i="8"/>
  <c r="J17" i="8"/>
  <c r="J18" i="8"/>
  <c r="J13" i="8"/>
  <c r="I14" i="8"/>
  <c r="I15" i="8"/>
  <c r="I16" i="8"/>
  <c r="I17" i="8"/>
  <c r="I18" i="8"/>
  <c r="I13" i="8"/>
  <c r="M15" i="11"/>
  <c r="M16" i="11"/>
  <c r="M17" i="11"/>
  <c r="M18" i="11"/>
  <c r="M19" i="11"/>
  <c r="M20" i="11"/>
  <c r="M14" i="11"/>
  <c r="L15" i="11"/>
  <c r="L16" i="11"/>
  <c r="L17" i="11"/>
  <c r="L18" i="11"/>
  <c r="L19" i="11"/>
  <c r="L20" i="11"/>
  <c r="L14" i="11"/>
  <c r="K15" i="11"/>
  <c r="K16" i="11"/>
  <c r="K17" i="11"/>
  <c r="K18" i="11"/>
  <c r="K19" i="11"/>
  <c r="K20" i="11"/>
  <c r="K14" i="11"/>
  <c r="J15" i="11"/>
  <c r="J16" i="11"/>
  <c r="J17" i="11"/>
  <c r="J18" i="11"/>
  <c r="J19" i="11"/>
  <c r="J20" i="11"/>
  <c r="J14" i="11"/>
  <c r="I15" i="11"/>
  <c r="I16" i="11"/>
  <c r="I17" i="11"/>
  <c r="I18" i="11"/>
  <c r="I19" i="11"/>
  <c r="I20" i="11"/>
  <c r="I14" i="11"/>
  <c r="M4" i="10"/>
  <c r="M5" i="10"/>
  <c r="M6" i="10"/>
  <c r="M7" i="10"/>
  <c r="M8" i="10"/>
  <c r="M9" i="10"/>
  <c r="L4" i="10"/>
  <c r="L5" i="10"/>
  <c r="L6" i="10"/>
  <c r="L7" i="10"/>
  <c r="L8" i="10"/>
  <c r="L9" i="10"/>
  <c r="K4" i="10"/>
  <c r="K5" i="10"/>
  <c r="K6" i="10"/>
  <c r="K7" i="10"/>
  <c r="K8" i="10"/>
  <c r="K9" i="10"/>
  <c r="J4" i="10"/>
  <c r="J5" i="10"/>
  <c r="J6" i="10"/>
  <c r="J7" i="10"/>
  <c r="J8" i="10"/>
  <c r="J9" i="10"/>
  <c r="I4" i="10"/>
  <c r="I5" i="10"/>
  <c r="I6" i="10"/>
  <c r="I7" i="10"/>
  <c r="I8" i="10"/>
  <c r="I9" i="10"/>
  <c r="M3" i="10"/>
  <c r="L3" i="10"/>
  <c r="K3" i="10"/>
  <c r="J3" i="10"/>
  <c r="I3" i="10"/>
  <c r="K7" i="14"/>
  <c r="J7" i="14"/>
  <c r="I7" i="14"/>
  <c r="H7" i="14"/>
  <c r="G7" i="14"/>
  <c r="H16" i="14"/>
  <c r="H17" i="14"/>
  <c r="H18" i="14"/>
  <c r="H15" i="14"/>
  <c r="H19" i="14"/>
  <c r="H20" i="14"/>
  <c r="H14" i="14"/>
  <c r="H19" i="5"/>
  <c r="H20" i="5"/>
  <c r="H21" i="5"/>
  <c r="H3" i="5"/>
  <c r="H7" i="5"/>
  <c r="H11" i="5"/>
  <c r="H4" i="5"/>
  <c r="H8" i="5"/>
  <c r="H12" i="5"/>
  <c r="H16" i="5"/>
  <c r="H10" i="5"/>
  <c r="H18" i="5"/>
  <c r="H5" i="5"/>
  <c r="H9" i="5"/>
  <c r="H13" i="5"/>
  <c r="H17" i="5"/>
  <c r="H6" i="5"/>
  <c r="H14" i="5"/>
  <c r="H15" i="5"/>
  <c r="H2" i="5"/>
  <c r="H3" i="4"/>
  <c r="H7" i="4"/>
  <c r="H11" i="4"/>
  <c r="H15" i="4"/>
  <c r="H19" i="4"/>
  <c r="H4" i="4"/>
  <c r="H8" i="4"/>
  <c r="H12" i="4"/>
  <c r="H16" i="4"/>
  <c r="H20" i="4"/>
  <c r="H5" i="4"/>
  <c r="H9" i="4"/>
  <c r="H13" i="4"/>
  <c r="H17" i="4"/>
  <c r="H21" i="4"/>
  <c r="H6" i="4"/>
  <c r="H10" i="4"/>
  <c r="H14" i="4"/>
  <c r="H18" i="4"/>
  <c r="H2" i="4"/>
  <c r="H3" i="3"/>
  <c r="H7" i="3"/>
  <c r="H11" i="3"/>
  <c r="H15" i="3"/>
  <c r="H19" i="3"/>
  <c r="H5" i="3"/>
  <c r="H13" i="3"/>
  <c r="H21" i="3"/>
  <c r="H10" i="3"/>
  <c r="H18" i="3"/>
  <c r="H4" i="3"/>
  <c r="H8" i="3"/>
  <c r="H12" i="3"/>
  <c r="H16" i="3"/>
  <c r="H20" i="3"/>
  <c r="H9" i="3"/>
  <c r="H17" i="3"/>
  <c r="H6" i="3"/>
  <c r="H14" i="3"/>
  <c r="H2" i="3"/>
  <c r="H3" i="2"/>
  <c r="H7" i="2"/>
  <c r="H11" i="2"/>
  <c r="H15" i="2"/>
  <c r="H19" i="2"/>
  <c r="H21" i="2"/>
  <c r="H14" i="2"/>
  <c r="H4" i="2"/>
  <c r="H8" i="2"/>
  <c r="H12" i="2"/>
  <c r="H16" i="2"/>
  <c r="H20" i="2"/>
  <c r="H10" i="2"/>
  <c r="H5" i="2"/>
  <c r="H9" i="2"/>
  <c r="H13" i="2"/>
  <c r="H17" i="2"/>
  <c r="H6" i="2"/>
  <c r="H18" i="2"/>
  <c r="H2" i="2"/>
  <c r="H3" i="1"/>
  <c r="H4" i="1"/>
  <c r="H8" i="1"/>
  <c r="H12" i="1"/>
  <c r="H16" i="1"/>
  <c r="H20" i="1"/>
  <c r="H21" i="1"/>
  <c r="H6" i="1"/>
  <c r="H10" i="1"/>
  <c r="H14" i="1"/>
  <c r="H7" i="1"/>
  <c r="H11" i="1"/>
  <c r="H15" i="1"/>
  <c r="H5" i="1"/>
  <c r="H9" i="1"/>
  <c r="H13" i="1"/>
  <c r="H17" i="1"/>
  <c r="H18" i="1"/>
  <c r="H19" i="1"/>
  <c r="H2" i="1"/>
  <c r="E21" i="7"/>
  <c r="A21" i="7"/>
  <c r="B20" i="7"/>
  <c r="C19" i="7"/>
  <c r="D18" i="7"/>
  <c r="E17" i="7"/>
  <c r="A17" i="7"/>
  <c r="B16" i="7"/>
  <c r="C15" i="7"/>
  <c r="D14" i="7"/>
  <c r="E13" i="7"/>
  <c r="A13" i="7"/>
  <c r="B12" i="7"/>
  <c r="C11" i="7"/>
  <c r="D10" i="7"/>
  <c r="E9" i="7"/>
  <c r="A9" i="7"/>
  <c r="B8" i="7"/>
  <c r="C7" i="7"/>
  <c r="D6" i="7"/>
  <c r="E5" i="7"/>
  <c r="A5" i="7"/>
  <c r="B4" i="7"/>
  <c r="C3" i="7"/>
  <c r="D2" i="7"/>
  <c r="C20" i="7"/>
  <c r="E18" i="7"/>
  <c r="D15" i="7"/>
  <c r="B13" i="7"/>
  <c r="D11" i="7"/>
  <c r="B9" i="7"/>
  <c r="E6" i="7"/>
  <c r="C4" i="7"/>
  <c r="A2" i="7"/>
  <c r="D21" i="7"/>
  <c r="E20" i="7"/>
  <c r="A20" i="7"/>
  <c r="B19" i="7"/>
  <c r="C18" i="7"/>
  <c r="D17" i="7"/>
  <c r="E16" i="7"/>
  <c r="A16" i="7"/>
  <c r="B15" i="7"/>
  <c r="C14" i="7"/>
  <c r="D13" i="7"/>
  <c r="E12" i="7"/>
  <c r="A12" i="7"/>
  <c r="B11" i="7"/>
  <c r="C10" i="7"/>
  <c r="D9" i="7"/>
  <c r="E8" i="7"/>
  <c r="A8" i="7"/>
  <c r="B7" i="7"/>
  <c r="C6" i="7"/>
  <c r="D5" i="7"/>
  <c r="E4" i="7"/>
  <c r="A4" i="7"/>
  <c r="B3" i="7"/>
  <c r="C2" i="7"/>
  <c r="D19" i="7"/>
  <c r="B17" i="7"/>
  <c r="E14" i="7"/>
  <c r="C12" i="7"/>
  <c r="A10" i="7"/>
  <c r="D7" i="7"/>
  <c r="B5" i="7"/>
  <c r="E2" i="7"/>
  <c r="C21" i="7"/>
  <c r="D20" i="7"/>
  <c r="E19" i="7"/>
  <c r="A19" i="7"/>
  <c r="B18" i="7"/>
  <c r="C17" i="7"/>
  <c r="D16" i="7"/>
  <c r="E15" i="7"/>
  <c r="A15" i="7"/>
  <c r="B14" i="7"/>
  <c r="C13" i="7"/>
  <c r="D12" i="7"/>
  <c r="E11" i="7"/>
  <c r="A11" i="7"/>
  <c r="B10" i="7"/>
  <c r="C9" i="7"/>
  <c r="D8" i="7"/>
  <c r="E7" i="7"/>
  <c r="A7" i="7"/>
  <c r="B6" i="7"/>
  <c r="C5" i="7"/>
  <c r="D4" i="7"/>
  <c r="E3" i="7"/>
  <c r="A3" i="7"/>
  <c r="B2" i="7"/>
  <c r="B21" i="7"/>
  <c r="A18" i="7"/>
  <c r="C16" i="7"/>
  <c r="A14" i="7"/>
  <c r="E10" i="7"/>
  <c r="C8" i="7"/>
  <c r="A6" i="7"/>
  <c r="D3" i="7"/>
  <c r="A2" i="6"/>
  <c r="E2" i="6"/>
  <c r="D3" i="6"/>
  <c r="C4" i="6"/>
  <c r="B5" i="6"/>
  <c r="A6" i="6"/>
  <c r="E6" i="6"/>
  <c r="D7" i="6"/>
  <c r="C8" i="6"/>
  <c r="B9" i="6"/>
  <c r="A10" i="6"/>
  <c r="E10" i="6"/>
  <c r="D11" i="6"/>
  <c r="C12" i="6"/>
  <c r="B13" i="6"/>
  <c r="A14" i="6"/>
  <c r="E14" i="6"/>
  <c r="D15" i="6"/>
  <c r="C16" i="6"/>
  <c r="B17" i="6"/>
  <c r="A18" i="6"/>
  <c r="E18" i="6"/>
  <c r="D19" i="6"/>
  <c r="C20" i="6"/>
  <c r="B21" i="6"/>
  <c r="E4" i="6"/>
  <c r="D5" i="6"/>
  <c r="C6" i="6"/>
  <c r="B7" i="6"/>
  <c r="A8" i="6"/>
  <c r="E8" i="6"/>
  <c r="D9" i="6"/>
  <c r="C10" i="6"/>
  <c r="B11" i="6"/>
  <c r="A12" i="6"/>
  <c r="E12" i="6"/>
  <c r="D13" i="6"/>
  <c r="C14" i="6"/>
  <c r="B15" i="6"/>
  <c r="A16" i="6"/>
  <c r="E16" i="6"/>
  <c r="D17" i="6"/>
  <c r="C18" i="6"/>
  <c r="B19" i="6"/>
  <c r="A20" i="6"/>
  <c r="D21" i="6"/>
  <c r="C3" i="6"/>
  <c r="B4" i="6"/>
  <c r="A5" i="6"/>
  <c r="D6" i="6"/>
  <c r="C7" i="6"/>
  <c r="A9" i="6"/>
  <c r="E9" i="6"/>
  <c r="C11" i="6"/>
  <c r="B12" i="6"/>
  <c r="A13" i="6"/>
  <c r="D14" i="6"/>
  <c r="A17" i="6"/>
  <c r="D18" i="6"/>
  <c r="B20" i="6"/>
  <c r="A21" i="6"/>
  <c r="E21" i="6"/>
  <c r="B2" i="6"/>
  <c r="A3" i="6"/>
  <c r="E3" i="6"/>
  <c r="D4" i="6"/>
  <c r="C5" i="6"/>
  <c r="B6" i="6"/>
  <c r="A7" i="6"/>
  <c r="E7" i="6"/>
  <c r="D8" i="6"/>
  <c r="C9" i="6"/>
  <c r="B10" i="6"/>
  <c r="A11" i="6"/>
  <c r="E11" i="6"/>
  <c r="D12" i="6"/>
  <c r="C13" i="6"/>
  <c r="B14" i="6"/>
  <c r="A15" i="6"/>
  <c r="E15" i="6"/>
  <c r="D16" i="6"/>
  <c r="C17" i="6"/>
  <c r="B18" i="6"/>
  <c r="A19" i="6"/>
  <c r="E19" i="6"/>
  <c r="D20" i="6"/>
  <c r="C21" i="6"/>
  <c r="C2" i="6"/>
  <c r="B3" i="6"/>
  <c r="A4" i="6"/>
  <c r="E20" i="6"/>
  <c r="D2" i="6"/>
  <c r="E5" i="6"/>
  <c r="B8" i="6"/>
  <c r="D10" i="6"/>
  <c r="E13" i="6"/>
  <c r="C15" i="6"/>
  <c r="B16" i="6"/>
  <c r="E17" i="6"/>
  <c r="C19" i="6"/>
  <c r="N26" i="12" l="1"/>
  <c r="N25" i="12"/>
  <c r="N24" i="12"/>
  <c r="N23" i="12"/>
  <c r="N22" i="12"/>
  <c r="N21" i="12"/>
  <c r="N20" i="12"/>
  <c r="N19" i="12"/>
  <c r="N18" i="12"/>
  <c r="N17" i="12"/>
  <c r="N18" i="8"/>
  <c r="N17" i="8"/>
  <c r="N16" i="8"/>
  <c r="N15" i="8"/>
  <c r="N14" i="8"/>
  <c r="N13" i="8"/>
  <c r="N20" i="11"/>
  <c r="N19" i="11"/>
  <c r="N18" i="11"/>
  <c r="N17" i="11"/>
  <c r="N16" i="11"/>
  <c r="N15" i="11"/>
  <c r="N14" i="11"/>
  <c r="N9" i="10"/>
  <c r="N8" i="10"/>
  <c r="N7" i="10"/>
  <c r="N6" i="10"/>
  <c r="N5" i="10"/>
  <c r="N4" i="10"/>
  <c r="N3" i="10"/>
  <c r="I4" i="14"/>
  <c r="K21" i="7"/>
  <c r="J21" i="7"/>
  <c r="I21" i="7"/>
  <c r="H21" i="7"/>
  <c r="G21" i="7"/>
  <c r="J3" i="7"/>
  <c r="G6" i="7"/>
  <c r="I8" i="7"/>
  <c r="K10" i="7"/>
  <c r="G14" i="7"/>
  <c r="I16" i="7"/>
  <c r="G18" i="7"/>
  <c r="H2" i="7"/>
  <c r="G3" i="7"/>
  <c r="K3" i="7"/>
  <c r="J4" i="7"/>
  <c r="I5" i="7"/>
  <c r="H6" i="7"/>
  <c r="G7" i="7"/>
  <c r="K7" i="7"/>
  <c r="J8" i="7"/>
  <c r="I9" i="7"/>
  <c r="H10" i="7"/>
  <c r="G11" i="7"/>
  <c r="K11" i="7"/>
  <c r="J12" i="7"/>
  <c r="I13" i="7"/>
  <c r="H14" i="7"/>
  <c r="G15" i="7"/>
  <c r="K15" i="7"/>
  <c r="J16" i="7"/>
  <c r="I17" i="7"/>
  <c r="H18" i="7"/>
  <c r="G19" i="7"/>
  <c r="K19" i="7"/>
  <c r="J20" i="7"/>
  <c r="K2" i="7"/>
  <c r="H5" i="7"/>
  <c r="J7" i="7"/>
  <c r="G10" i="7"/>
  <c r="I12" i="7"/>
  <c r="K14" i="7"/>
  <c r="H17" i="7"/>
  <c r="J19" i="7"/>
  <c r="I2" i="7"/>
  <c r="H3" i="7"/>
  <c r="G4" i="7"/>
  <c r="K4" i="7"/>
  <c r="J5" i="7"/>
  <c r="I6" i="7"/>
  <c r="H7" i="7"/>
  <c r="G8" i="7"/>
  <c r="K8" i="7"/>
  <c r="J9" i="7"/>
  <c r="I10" i="7"/>
  <c r="H11" i="7"/>
  <c r="G12" i="7"/>
  <c r="K12" i="7"/>
  <c r="J13" i="7"/>
  <c r="I14" i="7"/>
  <c r="H15" i="7"/>
  <c r="G16" i="7"/>
  <c r="K16" i="7"/>
  <c r="J17" i="7"/>
  <c r="I18" i="7"/>
  <c r="H19" i="7"/>
  <c r="G20" i="7"/>
  <c r="K20" i="7"/>
  <c r="I4" i="7"/>
  <c r="K6" i="7"/>
  <c r="H9" i="7"/>
  <c r="J11" i="7"/>
  <c r="H13" i="7"/>
  <c r="J15" i="7"/>
  <c r="K18" i="7"/>
  <c r="I20" i="7"/>
  <c r="J2" i="7"/>
  <c r="I3" i="7"/>
  <c r="H4" i="7"/>
  <c r="G5" i="7"/>
  <c r="K5" i="7"/>
  <c r="J6" i="7"/>
  <c r="I7" i="7"/>
  <c r="H8" i="7"/>
  <c r="G9" i="7"/>
  <c r="K9" i="7"/>
  <c r="J10" i="7"/>
  <c r="I11" i="7"/>
  <c r="H12" i="7"/>
  <c r="G13" i="7"/>
  <c r="K13" i="7"/>
  <c r="J14" i="7"/>
  <c r="I15" i="7"/>
  <c r="H16" i="7"/>
  <c r="G17" i="7"/>
  <c r="K17" i="7"/>
  <c r="J18" i="7"/>
  <c r="I19" i="7"/>
  <c r="H20" i="7"/>
  <c r="I19" i="6"/>
  <c r="K17" i="6"/>
  <c r="H16" i="6"/>
  <c r="I15" i="6"/>
  <c r="K13" i="6"/>
  <c r="J10" i="6"/>
  <c r="H8" i="6"/>
  <c r="K5" i="6"/>
  <c r="J2" i="6"/>
  <c r="K20" i="6"/>
  <c r="G4" i="6"/>
  <c r="H3" i="6"/>
  <c r="I2" i="6"/>
  <c r="I21" i="6"/>
  <c r="J20" i="6"/>
  <c r="K19" i="6"/>
  <c r="G19" i="6"/>
  <c r="H18" i="6"/>
  <c r="I17" i="6"/>
  <c r="J16" i="6"/>
  <c r="K15" i="6"/>
  <c r="G15" i="6"/>
  <c r="H14" i="6"/>
  <c r="I13" i="6"/>
  <c r="J12" i="6"/>
  <c r="K11" i="6"/>
  <c r="G11" i="6"/>
  <c r="H10" i="6"/>
  <c r="I9" i="6"/>
  <c r="J8" i="6"/>
  <c r="K7" i="6"/>
  <c r="G7" i="6"/>
  <c r="H6" i="6"/>
  <c r="I5" i="6"/>
  <c r="J4" i="6"/>
  <c r="K3" i="6"/>
  <c r="G3" i="6"/>
  <c r="H2" i="6"/>
  <c r="K21" i="6"/>
  <c r="G21" i="6"/>
  <c r="H20" i="6"/>
  <c r="J18" i="6"/>
  <c r="G17" i="6"/>
  <c r="J14" i="6"/>
  <c r="G13" i="6"/>
  <c r="H12" i="6"/>
  <c r="I11" i="6"/>
  <c r="K9" i="6"/>
  <c r="G9" i="6"/>
  <c r="I7" i="6"/>
  <c r="J6" i="6"/>
  <c r="G5" i="6"/>
  <c r="H4" i="6"/>
  <c r="I3" i="6"/>
  <c r="J21" i="6"/>
  <c r="G20" i="6"/>
  <c r="H19" i="6"/>
  <c r="I18" i="6"/>
  <c r="J17" i="6"/>
  <c r="K16" i="6"/>
  <c r="G16" i="6"/>
  <c r="H15" i="6"/>
  <c r="I14" i="6"/>
  <c r="J13" i="6"/>
  <c r="K12" i="6"/>
  <c r="G12" i="6"/>
  <c r="H11" i="6"/>
  <c r="I10" i="6"/>
  <c r="J9" i="6"/>
  <c r="K8" i="6"/>
  <c r="G8" i="6"/>
  <c r="H7" i="6"/>
  <c r="I6" i="6"/>
  <c r="J5" i="6"/>
  <c r="K4" i="6"/>
  <c r="H21" i="6"/>
  <c r="I20" i="6"/>
  <c r="J19" i="6"/>
  <c r="K18" i="6"/>
  <c r="G18" i="6"/>
  <c r="H17" i="6"/>
  <c r="I16" i="6"/>
  <c r="J15" i="6"/>
  <c r="K14" i="6"/>
  <c r="G14" i="6"/>
  <c r="H13" i="6"/>
  <c r="I12" i="6"/>
  <c r="J11" i="6"/>
  <c r="K10" i="6"/>
  <c r="G10" i="6"/>
  <c r="H9" i="6"/>
  <c r="I8" i="6"/>
  <c r="J7" i="6"/>
  <c r="K6" i="6"/>
  <c r="G6" i="6"/>
  <c r="H5" i="6"/>
  <c r="I4" i="6"/>
  <c r="J3" i="6"/>
  <c r="K2" i="6"/>
  <c r="G2" i="6"/>
  <c r="G2" i="7"/>
  <c r="N5" i="7" l="1"/>
  <c r="N4" i="7"/>
  <c r="N3" i="7"/>
</calcChain>
</file>

<file path=xl/sharedStrings.xml><?xml version="1.0" encoding="utf-8"?>
<sst xmlns="http://schemas.openxmlformats.org/spreadsheetml/2006/main" count="299" uniqueCount="83">
  <si>
    <t>CC</t>
  </si>
  <si>
    <t>PR</t>
  </si>
  <si>
    <t>TA</t>
  </si>
  <si>
    <t>PFI</t>
  </si>
  <si>
    <t>CB</t>
  </si>
  <si>
    <t>VCP</t>
  </si>
  <si>
    <t>V</t>
  </si>
  <si>
    <t>Zone A</t>
  </si>
  <si>
    <t>Zone B</t>
  </si>
  <si>
    <t>Zone C</t>
  </si>
  <si>
    <t>Zone D</t>
  </si>
  <si>
    <t>Zone E</t>
  </si>
  <si>
    <t>nombre</t>
  </si>
  <si>
    <t>Accepté</t>
  </si>
  <si>
    <t>Rejeté</t>
  </si>
  <si>
    <t>dossiers</t>
  </si>
  <si>
    <t>incertitude</t>
  </si>
  <si>
    <t>score Z</t>
  </si>
  <si>
    <t>scoreZ</t>
  </si>
  <si>
    <t>Ojectif</t>
  </si>
  <si>
    <t>valeur</t>
  </si>
  <si>
    <t>Z=x1+x2+x3+x4+x5</t>
  </si>
  <si>
    <t>x1=1,2*CC/TA</t>
  </si>
  <si>
    <t>x4=0,6*CB/VCP</t>
  </si>
  <si>
    <t>x5=0,999*V/TA</t>
  </si>
  <si>
    <t>x2=1,4*PR/TA</t>
  </si>
  <si>
    <t>Microsoft Excel 16.0 Rapport de solution</t>
  </si>
  <si>
    <t>Feuille : [donnee_projet1_vba_excel.xlsm]prediction zone A</t>
  </si>
  <si>
    <t>Date du rapport : 29/02/2020 17:44:32</t>
  </si>
  <si>
    <t>Résultat : Le Solveur a trouvé une solution satisfaisant toutes les contraintes et les conditions d’optimisation.</t>
  </si>
  <si>
    <t>Moteur du solveur</t>
  </si>
  <si>
    <t>Moteur : GRG non linéaire</t>
  </si>
  <si>
    <t>Heure de la solution : 0,078 secondes.</t>
  </si>
  <si>
    <t>Itérations : 3 Sous-problèmes : 0</t>
  </si>
  <si>
    <t>Options du solveur</t>
  </si>
  <si>
    <t>Temps max Illimité,  Itérations Illimité, Precision 0,000001, Échelle automatique</t>
  </si>
  <si>
    <t xml:space="preserve"> Convergence 0,0001, Taille de la population 100, Valeur de départ aléatoire 0, Dérivées - Transfert, Limites requises</t>
  </si>
  <si>
    <t>Sous-problèmes max Illimité, Solutions de nombre entier max Illimité, Tolérance des nombres entiers 1%, Supposé non négatif</t>
  </si>
  <si>
    <t>Cellule objectif (Valeur)</t>
  </si>
  <si>
    <t>Cellule</t>
  </si>
  <si>
    <t>Nom</t>
  </si>
  <si>
    <t>Valeur initiale</t>
  </si>
  <si>
    <t>Valeur finale</t>
  </si>
  <si>
    <t>Cellules variables</t>
  </si>
  <si>
    <t>Entier</t>
  </si>
  <si>
    <t>Contraintes</t>
  </si>
  <si>
    <t>Valeur de la cellule</t>
  </si>
  <si>
    <t>Formule</t>
  </si>
  <si>
    <t>État</t>
  </si>
  <si>
    <t>Marge</t>
  </si>
  <si>
    <t>$I$4</t>
  </si>
  <si>
    <t>Z=x1+x2+x3+x4+x5 valeur</t>
  </si>
  <si>
    <t>$A$14</t>
  </si>
  <si>
    <t>Suite</t>
  </si>
  <si>
    <t>$B$14</t>
  </si>
  <si>
    <t>$C$14</t>
  </si>
  <si>
    <t>$D$14</t>
  </si>
  <si>
    <t>$E$14</t>
  </si>
  <si>
    <t>$F$14</t>
  </si>
  <si>
    <t>$G$14</t>
  </si>
  <si>
    <t>Lié</t>
  </si>
  <si>
    <t>x3=3,3*PFI/TA</t>
  </si>
  <si>
    <t>Date du rapport : 29/02/2020 17:54:24</t>
  </si>
  <si>
    <t>Heure de la solution : 0,063 secondes.</t>
  </si>
  <si>
    <t>Itérations : 2 Sous-problèmes : 0</t>
  </si>
  <si>
    <t>$A$15</t>
  </si>
  <si>
    <t>$B$15</t>
  </si>
  <si>
    <t>$C$15</t>
  </si>
  <si>
    <t>$D$15</t>
  </si>
  <si>
    <t>$E$15</t>
  </si>
  <si>
    <t>$F$15</t>
  </si>
  <si>
    <t>$G$15</t>
  </si>
  <si>
    <t>$A$15:$G$15</t>
  </si>
  <si>
    <t>valeur final</t>
  </si>
  <si>
    <t>Prediction zone E</t>
  </si>
  <si>
    <t>Incertitudes en zone E</t>
  </si>
  <si>
    <t>Incertituhdes en zone A</t>
  </si>
  <si>
    <t>Incertitudes en zone C</t>
  </si>
  <si>
    <t xml:space="preserve">prediction </t>
  </si>
  <si>
    <t>Prediction</t>
  </si>
  <si>
    <t>inceritudes en zone B</t>
  </si>
  <si>
    <t>prédiction en zone B</t>
  </si>
  <si>
    <t>Incertitudes en zone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</si>
</sst>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1" xfId="0" applyFill="1" applyBorder="1"/>
    <xf numFmtId="0" fontId="1" fillId="0" borderId="0" xfId="0" applyFont="1"/>
    <xf numFmtId="0" fontId="0" fillId="0" borderId="3" xfId="0" applyFill="1" applyBorder="1" applyAlignment="1"/>
    <xf numFmtId="0" fontId="2" fillId="0" borderId="2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4" xfId="0" applyFill="1" applyBorder="1" applyAlignment="1"/>
    <xf numFmtId="0" fontId="0" fillId="0" borderId="3" xfId="0" applyNumberFormat="1" applyFill="1" applyBorder="1" applyAlignment="1"/>
    <xf numFmtId="0" fontId="0" fillId="0" borderId="4" xfId="0" applyNumberFormat="1" applyFill="1" applyBorder="1" applyAlignment="1"/>
    <xf numFmtId="0" fontId="2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/>
    <xf numFmtId="0" fontId="3" fillId="0" borderId="0" xfId="0" applyFont="1" applyFill="1" applyBorder="1" applyAlignment="1">
      <alignment horizontal="lef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/>
    <xf numFmtId="0" fontId="5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" fillId="2" borderId="0" xfId="0" applyFont="1" applyFill="1"/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8" fillId="2" borderId="0" xfId="0" applyFont="1" applyFill="1"/>
  </cellXfs>
  <cellStyles count="1">
    <cellStyle name="Normal" xfId="0" builtinId="0"/>
  </cellStyles>
  <dxfs count="12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FF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13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655889252781456E-2"/>
          <c:y val="5.2070602550249798E-2"/>
          <c:w val="0.91905074365704287"/>
          <c:h val="0.90752296587926506"/>
        </c:manualLayout>
      </c:layout>
      <c:pie3DChart>
        <c:varyColors val="1"/>
        <c:ser>
          <c:idx val="0"/>
          <c:order val="0"/>
          <c:dPt>
            <c:idx val="0"/>
            <c:bubble3D val="0"/>
            <c:explosion val="25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47A-43CF-B2DC-E98F2A4D126A}"/>
              </c:ext>
            </c:extLst>
          </c:dPt>
          <c:dPt>
            <c:idx val="1"/>
            <c:bubble3D val="0"/>
            <c:explosion val="23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E47A-43CF-B2DC-E98F2A4D126A}"/>
              </c:ext>
            </c:extLst>
          </c:dPt>
          <c:dPt>
            <c:idx val="2"/>
            <c:bubble3D val="0"/>
            <c:explosion val="21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47A-43CF-B2DC-E98F2A4D126A}"/>
              </c:ext>
            </c:extLst>
          </c:dPt>
          <c:dLbls>
            <c:dLbl>
              <c:idx val="0"/>
              <c:layout>
                <c:manualLayout>
                  <c:x val="-5.1506999125109868E-3"/>
                  <c:y val="-0.19968066491688538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7A-43CF-B2DC-E98F2A4D12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7A-43CF-B2DC-E98F2A4D12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7A-43CF-B2DC-E98F2A4D126A}"/>
                </c:ext>
              </c:extLst>
            </c:dLbl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'appreciation dossiers'!$M$3:$M$5</c:f>
              <c:strCache>
                <c:ptCount val="3"/>
                <c:pt idx="0">
                  <c:v>Rejeté</c:v>
                </c:pt>
                <c:pt idx="1">
                  <c:v>incertitude</c:v>
                </c:pt>
                <c:pt idx="2">
                  <c:v>Accepté</c:v>
                </c:pt>
              </c:strCache>
            </c:strRef>
          </c:cat>
          <c:val>
            <c:numRef>
              <c:f>'appreciation dossiers'!$N$3:$N$5</c:f>
              <c:numCache>
                <c:formatCode>General</c:formatCode>
                <c:ptCount val="3"/>
                <c:pt idx="0">
                  <c:v>27</c:v>
                </c:pt>
                <c:pt idx="1">
                  <c:v>37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A-43CF-B2DC-E98F2A4D126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27296587926501"/>
          <c:y val="5.8737605715952171E-2"/>
          <c:w val="0.16706036745406824"/>
          <c:h val="0.2343766404199475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6</xdr:row>
      <xdr:rowOff>9526</xdr:rowOff>
    </xdr:from>
    <xdr:to>
      <xdr:col>17</xdr:col>
      <xdr:colOff>123825</xdr:colOff>
      <xdr:row>21</xdr:row>
      <xdr:rowOff>90488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115EF30-5E8E-42B9-B251-A6B3A4780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K21"/>
  <sheetViews>
    <sheetView workbookViewId="0">
      <selection activeCell="F7" sqref="F7"/>
    </sheetView>
  </sheetViews>
  <sheetFormatPr baseColWidth="10" defaultRowHeight="15" x14ac:dyDescent="0.25"/>
  <cols>
    <col min="1" max="7" width="11.42578125" style="2"/>
    <col min="8" max="8" width="13.140625" style="2" customWidth="1"/>
    <col min="9" max="16384" width="11.42578125" style="2"/>
  </cols>
  <sheetData>
    <row r="1" spans="1:11" x14ac:dyDescent="0.2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</row>
    <row r="2" spans="1:11" x14ac:dyDescent="0.25">
      <c r="A2" s="2">
        <f>Score_altman(A!A2,A!B2,A!C2,A!D2,A!E2,A!F2,A!G2)</f>
        <v>3.7256642361207688</v>
      </c>
      <c r="B2" s="2">
        <f>Score_altman(B!A2,B!B2,B!C2,B!D2,B!E2,B!F2,B!G2)</f>
        <v>2.4137013045098472</v>
      </c>
      <c r="C2" s="2">
        <f>Score_altman('C'!A2,'C'!B2,'C'!C2,'C'!D2,'C'!E2,'C'!F2,'C'!G2)</f>
        <v>2.9483925803838336</v>
      </c>
      <c r="D2" s="2">
        <f>Score_altman(D!A2,D!B2,D!C2,D!D2,D!E2,D!F2,D!G2)</f>
        <v>4.1739169840517194</v>
      </c>
      <c r="E2" s="2">
        <f>Score_altman(E!A2,E!B2,E!C2,E!D2,E!E2,E!F2,E!G2)</f>
        <v>1.9832099234295399</v>
      </c>
      <c r="G2" s="3" t="str">
        <f>IF(A2&lt;=1.81,"Rejeté",IF(A2&gt;=2.99,"Accepté",IF(AND(A2&gt;1.81,A2&lt;2.99),"Incertitude")))</f>
        <v>Accepté</v>
      </c>
      <c r="H2" s="3" t="str">
        <f t="shared" ref="H2:K17" si="0">IF(B2&lt;=1.81,"Rejeté",IF(B2&gt;=2.99,"Accepté",IF(AND(B2&gt;1.81,B2&lt;2.99),"Incertitude")))</f>
        <v>Incertitude</v>
      </c>
      <c r="I2" s="3" t="str">
        <f t="shared" si="0"/>
        <v>Incertitude</v>
      </c>
      <c r="J2" s="3" t="str">
        <f t="shared" si="0"/>
        <v>Accepté</v>
      </c>
      <c r="K2" s="3" t="str">
        <f t="shared" si="0"/>
        <v>Incertitude</v>
      </c>
    </row>
    <row r="3" spans="1:11" x14ac:dyDescent="0.25">
      <c r="A3" s="2">
        <f>Score_altman(A!A3,A!B3,A!C3,A!D3,A!E3,A!F3,A!G3)</f>
        <v>2.022815501124966</v>
      </c>
      <c r="B3" s="2">
        <f>Score_altman(B!A3,B!B3,B!C3,B!D3,B!E3,B!F3,B!G3)</f>
        <v>2.8205031348194871</v>
      </c>
      <c r="C3" s="2">
        <f>Score_altman('C'!A3,'C'!B3,'C'!C3,'C'!D3,'C'!E3,'C'!F3,'C'!G3)</f>
        <v>2.7667081584741609</v>
      </c>
      <c r="D3" s="2">
        <f>Score_altman(D!A3,D!B3,D!C3,D!D3,D!E3,D!F3,D!G3)</f>
        <v>2.0759504603947008</v>
      </c>
      <c r="E3" s="2">
        <f>Score_altman(E!A3,E!B3,E!C3,E!D3,E!E3,E!F3,E!G3)</f>
        <v>1.8710779651298028</v>
      </c>
      <c r="G3" s="3" t="str">
        <f t="shared" ref="G3:G21" si="1">IF(A3&lt;=1.81,"Rejeté",IF(A3&gt;=2.99,"Accepté",IF(AND(A3&gt;1.81,A3&lt;2.99),"Incertitude")))</f>
        <v>Incertitude</v>
      </c>
      <c r="H3" s="3" t="str">
        <f t="shared" si="0"/>
        <v>Incertitude</v>
      </c>
      <c r="I3" s="3" t="str">
        <f t="shared" si="0"/>
        <v>Incertitude</v>
      </c>
      <c r="J3" s="3" t="str">
        <f t="shared" si="0"/>
        <v>Incertitude</v>
      </c>
      <c r="K3" s="3" t="str">
        <f t="shared" si="0"/>
        <v>Incertitude</v>
      </c>
    </row>
    <row r="4" spans="1:11" x14ac:dyDescent="0.25">
      <c r="A4" s="2">
        <f>Score_altman(A!A4,A!B4,A!C4,A!D4,A!E4,A!F4,A!G4)</f>
        <v>1.0524954658230352</v>
      </c>
      <c r="B4" s="2">
        <f>Score_altman(B!A4,B!B4,B!C4,B!D4,B!E4,B!F4,B!G4)</f>
        <v>3.5652231974642525</v>
      </c>
      <c r="C4" s="2">
        <f>Score_altman('C'!A4,'C'!B4,'C'!C4,'C'!D4,'C'!E4,'C'!F4,'C'!G4)</f>
        <v>1.4511764041326058</v>
      </c>
      <c r="D4" s="2">
        <f>Score_altman(D!A4,D!B4,D!C4,D!D4,D!E4,D!F4,D!G4)</f>
        <v>2.0626346260137094</v>
      </c>
      <c r="E4" s="2">
        <f>Score_altman(E!A4,E!B4,E!C4,E!D4,E!E4,E!F4,E!G4)</f>
        <v>2.3830842793352702</v>
      </c>
      <c r="G4" s="3" t="str">
        <f t="shared" si="1"/>
        <v>Rejeté</v>
      </c>
      <c r="H4" s="3" t="str">
        <f t="shared" si="0"/>
        <v>Accepté</v>
      </c>
      <c r="I4" s="3" t="str">
        <f t="shared" si="0"/>
        <v>Rejeté</v>
      </c>
      <c r="J4" s="3" t="str">
        <f t="shared" si="0"/>
        <v>Incertitude</v>
      </c>
      <c r="K4" s="3" t="str">
        <f t="shared" si="0"/>
        <v>Incertitude</v>
      </c>
    </row>
    <row r="5" spans="1:11" x14ac:dyDescent="0.25">
      <c r="A5" s="2">
        <f>Score_altman(A!A5,A!B5,A!C5,A!D5,A!E5,A!F5,A!G5)</f>
        <v>5.4192872754814472</v>
      </c>
      <c r="B5" s="2">
        <f>Score_altman(B!A5,B!B5,B!C5,B!D5,B!E5,B!F5,B!G5)</f>
        <v>-0.36182077860307349</v>
      </c>
      <c r="C5" s="2">
        <f>Score_altman('C'!A5,'C'!B5,'C'!C5,'C'!D5,'C'!E5,'C'!F5,'C'!G5)</f>
        <v>2.9527612432662238</v>
      </c>
      <c r="D5" s="2">
        <f>Score_altman(D!A5,D!B5,D!C5,D!D5,D!E5,D!F5,D!G5)</f>
        <v>1.8341424759024119</v>
      </c>
      <c r="E5" s="2">
        <f>Score_altman(E!A5,E!B5,E!C5,E!D5,E!E5,E!F5,E!G5)</f>
        <v>1.9260387490340214</v>
      </c>
      <c r="G5" s="3" t="str">
        <f t="shared" si="1"/>
        <v>Accepté</v>
      </c>
      <c r="H5" s="3" t="str">
        <f t="shared" si="0"/>
        <v>Rejeté</v>
      </c>
      <c r="I5" s="3" t="str">
        <f t="shared" si="0"/>
        <v>Incertitude</v>
      </c>
      <c r="J5" s="3" t="str">
        <f t="shared" si="0"/>
        <v>Incertitude</v>
      </c>
      <c r="K5" s="3" t="str">
        <f t="shared" si="0"/>
        <v>Incertitude</v>
      </c>
    </row>
    <row r="6" spans="1:11" x14ac:dyDescent="0.25">
      <c r="A6" s="2">
        <f>Score_altman(A!A6,A!B6,A!C6,A!D6,A!E6,A!F6,A!G6)</f>
        <v>3.4672294700908632</v>
      </c>
      <c r="B6" s="2">
        <f>Score_altman(B!A6,B!B6,B!C6,B!D6,B!E6,B!F6,B!G6)</f>
        <v>0.27851368457977776</v>
      </c>
      <c r="C6" s="2">
        <f>Score_altman('C'!A6,'C'!B6,'C'!C6,'C'!D6,'C'!E6,'C'!F6,'C'!G6)</f>
        <v>3.6642277796275926</v>
      </c>
      <c r="D6" s="2">
        <f>Score_altman(D!A6,D!B6,D!C6,D!D6,D!E6,D!F6,D!G6)</f>
        <v>2.3077932495717843</v>
      </c>
      <c r="E6" s="2">
        <f>Score_altman(E!A6,E!B6,E!C6,E!D6,E!E6,E!F6,E!G6)</f>
        <v>3.0554436905480218</v>
      </c>
      <c r="G6" s="3" t="str">
        <f t="shared" si="1"/>
        <v>Accepté</v>
      </c>
      <c r="H6" s="3" t="str">
        <f t="shared" si="0"/>
        <v>Rejeté</v>
      </c>
      <c r="I6" s="3" t="str">
        <f t="shared" si="0"/>
        <v>Accepté</v>
      </c>
      <c r="J6" s="3" t="str">
        <f t="shared" si="0"/>
        <v>Incertitude</v>
      </c>
      <c r="K6" s="3" t="str">
        <f t="shared" si="0"/>
        <v>Accepté</v>
      </c>
    </row>
    <row r="7" spans="1:11" x14ac:dyDescent="0.25">
      <c r="A7" s="2">
        <f>Score_altman(A!A7,A!B7,A!C7,A!D7,A!E7,A!F7,A!G7)</f>
        <v>2.4969500217324478</v>
      </c>
      <c r="B7" s="2">
        <f>Score_altman(B!A7,B!B7,B!C7,B!D7,B!E7,B!F7,B!G7)</f>
        <v>2.8743009417861618</v>
      </c>
      <c r="C7" s="2">
        <f>Score_altman('C'!A7,'C'!B7,'C'!C7,'C'!D7,'C'!E7,'C'!F7,'C'!G7)</f>
        <v>3.6008047670124168</v>
      </c>
      <c r="D7" s="2">
        <f>Score_altman(D!A7,D!B7,D!C7,D!D7,D!E7,D!F7,D!G7)</f>
        <v>1.5192087168496207</v>
      </c>
      <c r="E7" s="2">
        <f>Score_altman(E!A7,E!B7,E!C7,E!D7,E!E7,E!F7,E!G7)</f>
        <v>4.7247464392476637</v>
      </c>
      <c r="G7" s="3" t="str">
        <f t="shared" si="1"/>
        <v>Incertitude</v>
      </c>
      <c r="H7" s="3" t="str">
        <f t="shared" si="0"/>
        <v>Incertitude</v>
      </c>
      <c r="I7" s="3" t="str">
        <f t="shared" si="0"/>
        <v>Accepté</v>
      </c>
      <c r="J7" s="3" t="str">
        <f t="shared" si="0"/>
        <v>Rejeté</v>
      </c>
      <c r="K7" s="3" t="str">
        <f t="shared" si="0"/>
        <v>Accepté</v>
      </c>
    </row>
    <row r="8" spans="1:11" x14ac:dyDescent="0.25">
      <c r="A8" s="2">
        <f>Score_altman(A!A8,A!B8,A!C8,A!D8,A!E8,A!F8,A!G8)</f>
        <v>2.5531636791847845</v>
      </c>
      <c r="B8" s="2">
        <f>Score_altman(B!A8,B!B8,B!C8,B!D8,B!E8,B!F8,B!G8)</f>
        <v>4.3861017546052752</v>
      </c>
      <c r="C8" s="2">
        <f>Score_altman('C'!A8,'C'!B8,'C'!C8,'C'!D8,'C'!E8,'C'!F8,'C'!G8)</f>
        <v>1.2714110296843359</v>
      </c>
      <c r="D8" s="2">
        <f>Score_altman(D!A8,D!B8,D!C8,D!D8,D!E8,D!F8,D!G8)</f>
        <v>4.7233610434768831</v>
      </c>
      <c r="E8" s="2">
        <f>Score_altman(E!A8,E!B8,E!C8,E!D8,E!E8,E!F8,E!G8)</f>
        <v>0.95832447319648262</v>
      </c>
      <c r="G8" s="3" t="str">
        <f t="shared" si="1"/>
        <v>Incertitude</v>
      </c>
      <c r="H8" s="3" t="str">
        <f t="shared" si="0"/>
        <v>Accepté</v>
      </c>
      <c r="I8" s="3" t="str">
        <f t="shared" si="0"/>
        <v>Rejeté</v>
      </c>
      <c r="J8" s="3" t="str">
        <f t="shared" si="0"/>
        <v>Accepté</v>
      </c>
      <c r="K8" s="3" t="str">
        <f t="shared" si="0"/>
        <v>Rejeté</v>
      </c>
    </row>
    <row r="9" spans="1:11" x14ac:dyDescent="0.25">
      <c r="A9" s="2">
        <f>Score_altman(A!A9,A!B9,A!C9,A!D9,A!E9,A!F9,A!G9)</f>
        <v>1.352026321079477</v>
      </c>
      <c r="B9" s="2">
        <f>Score_altman(B!A9,B!B9,B!C9,B!D9,B!E9,B!F9,B!G9)</f>
        <v>3.0959086029659648</v>
      </c>
      <c r="C9" s="2">
        <f>Score_altman('C'!A9,'C'!B9,'C'!C9,'C'!D9,'C'!E9,'C'!F9,'C'!G9)</f>
        <v>4.1120273768929883</v>
      </c>
      <c r="D9" s="2">
        <f>Score_altman(D!A9,D!B9,D!C9,D!D9,D!E9,D!F9,D!G9)</f>
        <v>0.32120544608455637</v>
      </c>
      <c r="E9" s="2">
        <f>Score_altman(E!A9,E!B9,E!C9,E!D9,E!E9,E!F9,E!G9)</f>
        <v>2.1409314298837483</v>
      </c>
      <c r="G9" s="3" t="str">
        <f t="shared" si="1"/>
        <v>Rejeté</v>
      </c>
      <c r="H9" s="3" t="str">
        <f t="shared" si="0"/>
        <v>Accepté</v>
      </c>
      <c r="I9" s="3" t="str">
        <f t="shared" si="0"/>
        <v>Accepté</v>
      </c>
      <c r="J9" s="3" t="str">
        <f t="shared" si="0"/>
        <v>Rejeté</v>
      </c>
      <c r="K9" s="3" t="str">
        <f t="shared" si="0"/>
        <v>Incertitude</v>
      </c>
    </row>
    <row r="10" spans="1:11" x14ac:dyDescent="0.25">
      <c r="A10" s="2">
        <f>Score_altman(A!A10,A!B10,A!C10,A!D10,A!E10,A!F10,A!G10)</f>
        <v>1.9715535376170539</v>
      </c>
      <c r="B10" s="2">
        <f>Score_altman(B!A10,B!B10,B!C10,B!D10,B!E10,B!F10,B!G10)</f>
        <v>4.418001500985012</v>
      </c>
      <c r="C10" s="2">
        <f>Score_altman('C'!A10,'C'!B10,'C'!C10,'C'!D10,'C'!E10,'C'!F10,'C'!G10)</f>
        <v>1.9469759974911802</v>
      </c>
      <c r="D10" s="2">
        <f>Score_altman(D!A10,D!B10,D!C10,D!D10,D!E10,D!F10,D!G10)</f>
        <v>3.4297470434034913</v>
      </c>
      <c r="E10" s="2">
        <f>Score_altman(E!A10,E!B10,E!C10,E!D10,E!E10,E!F10,E!G10)</f>
        <v>3.6481288120937547</v>
      </c>
      <c r="G10" s="3" t="str">
        <f t="shared" si="1"/>
        <v>Incertitude</v>
      </c>
      <c r="H10" s="3" t="str">
        <f t="shared" si="0"/>
        <v>Accepté</v>
      </c>
      <c r="I10" s="3" t="str">
        <f t="shared" si="0"/>
        <v>Incertitude</v>
      </c>
      <c r="J10" s="3" t="str">
        <f t="shared" si="0"/>
        <v>Accepté</v>
      </c>
      <c r="K10" s="3" t="str">
        <f t="shared" si="0"/>
        <v>Accepté</v>
      </c>
    </row>
    <row r="11" spans="1:11" x14ac:dyDescent="0.25">
      <c r="A11" s="2">
        <f>Score_altman(A!A11,A!B11,A!C11,A!D11,A!E11,A!F11,A!G11)</f>
        <v>4.1230445131669917</v>
      </c>
      <c r="B11" s="2">
        <f>Score_altman(B!A11,B!B11,B!C11,B!D11,B!E11,B!F11,B!G11)</f>
        <v>2.1980203757624532</v>
      </c>
      <c r="C11" s="2">
        <f>Score_altman('C'!A11,'C'!B11,'C'!C11,'C'!D11,'C'!E11,'C'!F11,'C'!G11)</f>
        <v>1.811143808876218</v>
      </c>
      <c r="D11" s="2">
        <f>Score_altman(D!A11,D!B11,D!C11,D!D11,D!E11,D!F11,D!G11)</f>
        <v>2.8166187203413471</v>
      </c>
      <c r="E11" s="2">
        <f>Score_altman(E!A11,E!B11,E!C11,E!D11,E!E11,E!F11,E!G11)</f>
        <v>1.3651109221808679</v>
      </c>
      <c r="G11" s="3" t="str">
        <f t="shared" si="1"/>
        <v>Accepté</v>
      </c>
      <c r="H11" s="3" t="str">
        <f t="shared" si="0"/>
        <v>Incertitude</v>
      </c>
      <c r="I11" s="3" t="str">
        <f t="shared" si="0"/>
        <v>Incertitude</v>
      </c>
      <c r="J11" s="3" t="str">
        <f t="shared" si="0"/>
        <v>Incertitude</v>
      </c>
      <c r="K11" s="3" t="str">
        <f t="shared" si="0"/>
        <v>Rejeté</v>
      </c>
    </row>
    <row r="12" spans="1:11" x14ac:dyDescent="0.25">
      <c r="A12" s="2">
        <f>Score_altman(A!A12,A!B12,A!C12,A!D12,A!E12,A!F12,A!G12)</f>
        <v>0.68745299725557452</v>
      </c>
      <c r="B12" s="2">
        <f>Score_altman(B!A12,B!B12,B!C12,B!D12,B!E12,B!F12,B!G12)</f>
        <v>3.1656269028799993</v>
      </c>
      <c r="C12" s="2">
        <f>Score_altman('C'!A12,'C'!B12,'C'!C12,'C'!D12,'C'!E12,'C'!F12,'C'!G12)</f>
        <v>2.334715547893206</v>
      </c>
      <c r="D12" s="2">
        <f>Score_altman(D!A12,D!B12,D!C12,D!D12,D!E12,D!F12,D!G12)</f>
        <v>3.2431462536363722</v>
      </c>
      <c r="E12" s="2">
        <f>Score_altman(E!A12,E!B12,E!C12,E!D12,E!E12,E!F12,E!G12)</f>
        <v>4.3085418899048795</v>
      </c>
      <c r="G12" s="3" t="str">
        <f t="shared" si="1"/>
        <v>Rejeté</v>
      </c>
      <c r="H12" s="3" t="str">
        <f t="shared" si="0"/>
        <v>Accepté</v>
      </c>
      <c r="I12" s="3" t="str">
        <f t="shared" si="0"/>
        <v>Incertitude</v>
      </c>
      <c r="J12" s="3" t="str">
        <f t="shared" si="0"/>
        <v>Accepté</v>
      </c>
      <c r="K12" s="3" t="str">
        <f t="shared" si="0"/>
        <v>Accepté</v>
      </c>
    </row>
    <row r="13" spans="1:11" x14ac:dyDescent="0.25">
      <c r="A13" s="2">
        <f>Score_altman(A!A13,A!B13,A!C13,A!D13,A!E13,A!F13,A!G13)</f>
        <v>1.7693205778630283</v>
      </c>
      <c r="B13" s="2">
        <f>Score_altman(B!A13,B!B13,B!C13,B!D13,B!E13,B!F13,B!G13)</f>
        <v>4.7870490150188196</v>
      </c>
      <c r="C13" s="2">
        <f>Score_altman('C'!A13,'C'!B13,'C'!C13,'C'!D13,'C'!E13,'C'!F13,'C'!G13)</f>
        <v>1.0297422458274885</v>
      </c>
      <c r="D13" s="2">
        <f>Score_altman(D!A13,D!B13,D!C13,D!D13,D!E13,D!F13,D!G13)</f>
        <v>0.52165808653695744</v>
      </c>
      <c r="E13" s="2">
        <f>Score_altman(E!A13,E!B13,E!C13,E!D13,E!E13,E!F13,E!G13)</f>
        <v>2.1049708039981683</v>
      </c>
      <c r="G13" s="3" t="str">
        <f t="shared" si="1"/>
        <v>Rejeté</v>
      </c>
      <c r="H13" s="3" t="str">
        <f t="shared" si="0"/>
        <v>Accepté</v>
      </c>
      <c r="I13" s="3" t="str">
        <f t="shared" si="0"/>
        <v>Rejeté</v>
      </c>
      <c r="J13" s="3" t="str">
        <f t="shared" si="0"/>
        <v>Rejeté</v>
      </c>
      <c r="K13" s="3" t="str">
        <f t="shared" si="0"/>
        <v>Incertitude</v>
      </c>
    </row>
    <row r="14" spans="1:11" x14ac:dyDescent="0.25">
      <c r="A14" s="2">
        <f>Score_altman(A!A14,A!B14,A!C14,A!D14,A!E14,A!F14,A!G14)</f>
        <v>1.1813897705145358</v>
      </c>
      <c r="B14" s="2">
        <f>Score_altman(B!A14,B!B14,B!C14,B!D14,B!E14,B!F14,B!G14)</f>
        <v>1.779422605881855</v>
      </c>
      <c r="C14" s="2">
        <f>Score_altman('C'!A14,'C'!B14,'C'!C14,'C'!D14,'C'!E14,'C'!F14,'C'!G14)</f>
        <v>4.1155364104236849</v>
      </c>
      <c r="D14" s="2">
        <f>Score_altman(D!A14,D!B14,D!C14,D!D14,D!E14,D!F14,D!G14)</f>
        <v>2.2176795695351146</v>
      </c>
      <c r="E14" s="2">
        <f>Score_altman(E!A14,E!B14,E!C14,E!D14,E!E14,E!F14,E!G14)</f>
        <v>0.28634782144339632</v>
      </c>
      <c r="G14" s="3" t="str">
        <f t="shared" si="1"/>
        <v>Rejeté</v>
      </c>
      <c r="H14" s="3" t="str">
        <f t="shared" si="0"/>
        <v>Rejeté</v>
      </c>
      <c r="I14" s="3" t="str">
        <f t="shared" si="0"/>
        <v>Accepté</v>
      </c>
      <c r="J14" s="3" t="str">
        <f t="shared" si="0"/>
        <v>Incertitude</v>
      </c>
      <c r="K14" s="3" t="str">
        <f t="shared" si="0"/>
        <v>Rejeté</v>
      </c>
    </row>
    <row r="15" spans="1:11" x14ac:dyDescent="0.25">
      <c r="A15" s="2">
        <f>Score_altman(A!A15,A!B15,A!C15,A!D15,A!E15,A!F15,A!G15)</f>
        <v>0.67225230100045819</v>
      </c>
      <c r="B15" s="2">
        <f>Score_altman(B!A15,B!B15,B!C15,B!D15,B!E15,B!F15,B!G15)</f>
        <v>2.1461522138097835</v>
      </c>
      <c r="C15" s="2">
        <f>Score_altman('C'!A15,'C'!B15,'C'!C15,'C'!D15,'C'!E15,'C'!F15,'C'!G15)</f>
        <v>2.4772210286075791</v>
      </c>
      <c r="D15" s="2">
        <f>Score_altman(D!A15,D!B15,D!C15,D!D15,D!E15,D!F15,D!G15)</f>
        <v>1.643455818294256</v>
      </c>
      <c r="E15" s="2">
        <f>Score_altman(E!A15,E!B15,E!C15,E!D15,E!E15,E!F15,E!G15)</f>
        <v>4.4920772736349264</v>
      </c>
      <c r="G15" s="3" t="str">
        <f t="shared" si="1"/>
        <v>Rejeté</v>
      </c>
      <c r="H15" s="3" t="str">
        <f t="shared" si="0"/>
        <v>Incertitude</v>
      </c>
      <c r="I15" s="3" t="str">
        <f t="shared" si="0"/>
        <v>Incertitude</v>
      </c>
      <c r="J15" s="3" t="str">
        <f t="shared" si="0"/>
        <v>Rejeté</v>
      </c>
      <c r="K15" s="3" t="str">
        <f t="shared" si="0"/>
        <v>Accepté</v>
      </c>
    </row>
    <row r="16" spans="1:11" x14ac:dyDescent="0.25">
      <c r="A16" s="2">
        <f>Score_altman(A!A16,A!B16,A!C16,A!D16,A!E16,A!F16,A!G16)</f>
        <v>2.7409627818064171</v>
      </c>
      <c r="B16" s="2">
        <f>Score_altman(B!A16,B!B16,B!C16,B!D16,B!E16,B!F16,B!G16)</f>
        <v>3.6417554704447808</v>
      </c>
      <c r="C16" s="2">
        <f>Score_altman('C'!A16,'C'!B16,'C'!C16,'C'!D16,'C'!E16,'C'!F16,'C'!G16)</f>
        <v>3.2721716221007062</v>
      </c>
      <c r="D16" s="2">
        <f>Score_altman(D!A16,D!B16,D!C16,D!D16,D!E16,D!F16,D!G16)</f>
        <v>3.9256741578419745</v>
      </c>
      <c r="E16" s="2">
        <f>Score_altman(E!A16,E!B16,E!C16,E!D16,E!E16,E!F16,E!G16)</f>
        <v>2.9552920128472153</v>
      </c>
      <c r="G16" s="3" t="str">
        <f t="shared" si="1"/>
        <v>Incertitude</v>
      </c>
      <c r="H16" s="3" t="str">
        <f t="shared" si="0"/>
        <v>Accepté</v>
      </c>
      <c r="I16" s="3" t="str">
        <f t="shared" si="0"/>
        <v>Accepté</v>
      </c>
      <c r="J16" s="3" t="str">
        <f t="shared" si="0"/>
        <v>Accepté</v>
      </c>
      <c r="K16" s="3" t="str">
        <f t="shared" si="0"/>
        <v>Incertitude</v>
      </c>
    </row>
    <row r="17" spans="1:11" x14ac:dyDescent="0.25">
      <c r="A17" s="2">
        <f>Score_altman(A!A17,A!B17,A!C17,A!D17,A!E17,A!F17,A!G17)</f>
        <v>2.9628114092384465</v>
      </c>
      <c r="B17" s="2">
        <f>Score_altman(B!A17,B!B17,B!C17,B!D17,B!E17,B!F17,B!G17)</f>
        <v>0.92058455878652834</v>
      </c>
      <c r="C17" s="2">
        <f>Score_altman('C'!A17,'C'!B17,'C'!C17,'C'!D17,'C'!E17,'C'!F17,'C'!G17)</f>
        <v>-0.84737226072129035</v>
      </c>
      <c r="D17" s="2">
        <f>Score_altman(D!A17,D!B17,D!C17,D!D17,D!E17,D!F17,D!G17)</f>
        <v>5.4616179321218636</v>
      </c>
      <c r="E17" s="2">
        <f>Score_altman(E!A17,E!B17,E!C17,E!D17,E!E17,E!F17,E!G17)</f>
        <v>3.0442208794755539</v>
      </c>
      <c r="G17" s="3" t="str">
        <f t="shared" si="1"/>
        <v>Incertitude</v>
      </c>
      <c r="H17" s="3" t="str">
        <f t="shared" si="0"/>
        <v>Rejeté</v>
      </c>
      <c r="I17" s="3" t="str">
        <f t="shared" si="0"/>
        <v>Rejeté</v>
      </c>
      <c r="J17" s="3" t="str">
        <f t="shared" si="0"/>
        <v>Accepté</v>
      </c>
      <c r="K17" s="3" t="str">
        <f t="shared" si="0"/>
        <v>Accepté</v>
      </c>
    </row>
    <row r="18" spans="1:11" x14ac:dyDescent="0.25">
      <c r="A18" s="2">
        <f>Score_altman(A!A18,A!B18,A!C18,A!D18,A!E18,A!F18,A!G18)</f>
        <v>3.5286206172189392</v>
      </c>
      <c r="B18" s="2">
        <f>Score_altman(B!A18,B!B18,B!C18,B!D18,B!E18,B!F18,B!G18)</f>
        <v>2.7479305292058758</v>
      </c>
      <c r="C18" s="2">
        <f>Score_altman('C'!A18,'C'!B18,'C'!C18,'C'!D18,'C'!E18,'C'!F18,'C'!G18)</f>
        <v>5.2657809269204519</v>
      </c>
      <c r="D18" s="2">
        <f>Score_altman(D!A18,D!B18,D!C18,D!D18,D!E18,D!F18,D!G18)</f>
        <v>3.2767208417929541</v>
      </c>
      <c r="E18" s="2">
        <f>Score_altman(E!A18,E!B18,E!C18,E!D18,E!E18,E!F18,E!G18)</f>
        <v>1.1484423052098423</v>
      </c>
      <c r="G18" s="3" t="str">
        <f t="shared" si="1"/>
        <v>Accepté</v>
      </c>
      <c r="H18" s="3" t="str">
        <f t="shared" ref="H18:H21" si="2">IF(B18&lt;=1.81,"Rejeté",IF(B18&gt;=2.99,"Accepté",IF(AND(B18&gt;1.81,B18&lt;2.99),"Incertitude")))</f>
        <v>Incertitude</v>
      </c>
      <c r="I18" s="3" t="str">
        <f t="shared" ref="I18:I21" si="3">IF(C18&lt;=1.81,"Rejeté",IF(C18&gt;=2.99,"Accepté",IF(AND(C18&gt;1.81,C18&lt;2.99),"Incertitude")))</f>
        <v>Accepté</v>
      </c>
      <c r="J18" s="3" t="str">
        <f t="shared" ref="J18:J21" si="4">IF(D18&lt;=1.81,"Rejeté",IF(D18&gt;=2.99,"Accepté",IF(AND(D18&gt;1.81,D18&lt;2.99),"Incertitude")))</f>
        <v>Accepté</v>
      </c>
      <c r="K18" s="3" t="str">
        <f t="shared" ref="K18:K21" si="5">IF(E18&lt;=1.81,"Rejeté",IF(E18&gt;=2.99,"Accepté",IF(AND(E18&gt;1.81,E18&lt;2.99),"Incertitude")))</f>
        <v>Rejeté</v>
      </c>
    </row>
    <row r="19" spans="1:11" x14ac:dyDescent="0.25">
      <c r="A19" s="2">
        <f>Score_altman(A!A19,A!B19,A!C19,A!D19,A!E19,A!F19,A!G19)</f>
        <v>1.9019956661183672</v>
      </c>
      <c r="B19" s="2">
        <f>Score_altman(B!A19,B!B19,B!C19,B!D19,B!E19,B!F19,B!G19)</f>
        <v>1.0453682153318928</v>
      </c>
      <c r="C19" s="2">
        <f>Score_altman('C'!A19,'C'!B19,'C'!C19,'C'!D19,'C'!E19,'C'!F19,'C'!G19)</f>
        <v>3.4142665350455639</v>
      </c>
      <c r="D19" s="2">
        <f>Score_altman(D!A19,D!B19,D!C19,D!D19,D!E19,D!F19,D!G19)</f>
        <v>1.4487523689651362E-2</v>
      </c>
      <c r="E19" s="2">
        <f>Score_altman(E!A19,E!B19,E!C19,E!D19,E!E19,E!F19,E!G19)</f>
        <v>1.8822647010704068</v>
      </c>
      <c r="G19" s="3" t="str">
        <f t="shared" si="1"/>
        <v>Incertitude</v>
      </c>
      <c r="H19" s="3" t="str">
        <f t="shared" si="2"/>
        <v>Rejeté</v>
      </c>
      <c r="I19" s="3" t="str">
        <f t="shared" si="3"/>
        <v>Accepté</v>
      </c>
      <c r="J19" s="3" t="str">
        <f t="shared" si="4"/>
        <v>Rejeté</v>
      </c>
      <c r="K19" s="3" t="str">
        <f t="shared" si="5"/>
        <v>Incertitude</v>
      </c>
    </row>
    <row r="20" spans="1:11" x14ac:dyDescent="0.25">
      <c r="A20" s="2">
        <f>Score_altman(A!A20,A!B20,A!C20,A!D20,A!E20,A!F20,A!G20)</f>
        <v>3.1514402150388876</v>
      </c>
      <c r="B20" s="2">
        <f>Score_altman(B!A20,B!B20,B!C20,B!D20,B!E20,B!F20,B!G20)</f>
        <v>4.5444856009559746</v>
      </c>
      <c r="C20" s="2">
        <f>Score_altman('C'!A20,'C'!B20,'C'!C20,'C'!D20,'C'!E20,'C'!F20,'C'!G20)</f>
        <v>1.4701666042188455</v>
      </c>
      <c r="D20" s="2">
        <f>Score_altman(D!A20,D!B20,D!C20,D!D20,D!E20,D!F20,D!G20)</f>
        <v>4.8117166849142325</v>
      </c>
      <c r="E20" s="2">
        <f>Score_altman(E!A20,E!B20,E!C20,E!D20,E!E20,E!F20,E!G20)</f>
        <v>2.0136186252210755</v>
      </c>
      <c r="G20" s="3" t="str">
        <f t="shared" si="1"/>
        <v>Accepté</v>
      </c>
      <c r="H20" s="3" t="str">
        <f t="shared" si="2"/>
        <v>Accepté</v>
      </c>
      <c r="I20" s="3" t="str">
        <f t="shared" si="3"/>
        <v>Rejeté</v>
      </c>
      <c r="J20" s="3" t="str">
        <f t="shared" si="4"/>
        <v>Accepté</v>
      </c>
      <c r="K20" s="3" t="str">
        <f t="shared" si="5"/>
        <v>Incertitude</v>
      </c>
    </row>
    <row r="21" spans="1:11" x14ac:dyDescent="0.25">
      <c r="A21" s="2">
        <f>Score_altman(A!A21,A!B21,A!C21,A!D21,A!E21,A!F21,A!G21)</f>
        <v>0.45246067042608756</v>
      </c>
      <c r="B21" s="2">
        <f>Score_altman(B!A21,B!B21,B!C21,B!D21,B!E21,B!F21,B!G21)</f>
        <v>2.5016483353282704</v>
      </c>
      <c r="C21" s="2">
        <f>Score_altman('C'!A21,'C'!B21,'C'!C21,'C'!D21,'C'!E21,'C'!F21,'C'!G21)</f>
        <v>3.3947584178554155</v>
      </c>
      <c r="D21" s="2">
        <f>Score_altman(D!A21,D!B21,D!C21,D!D21,D!E21,D!F21,D!G21)</f>
        <v>0.47210265997456147</v>
      </c>
      <c r="E21" s="2">
        <f>Score_altman(E!A21,E!B21,E!C21,E!D21,E!E21,E!F21,E!G21)</f>
        <v>2.0531032620885483</v>
      </c>
      <c r="G21" s="3" t="str">
        <f t="shared" si="1"/>
        <v>Rejeté</v>
      </c>
      <c r="H21" s="3" t="str">
        <f t="shared" si="2"/>
        <v>Incertitude</v>
      </c>
      <c r="I21" s="3" t="str">
        <f t="shared" si="3"/>
        <v>Accepté</v>
      </c>
      <c r="J21" s="3" t="str">
        <f t="shared" si="4"/>
        <v>Rejeté</v>
      </c>
      <c r="K21" s="3" t="str">
        <f t="shared" si="5"/>
        <v>Incertitude</v>
      </c>
    </row>
  </sheetData>
  <conditionalFormatting sqref="A1:E21">
    <cfRule type="colorScale" priority="4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E2AF9DF-88DB-4C3D-8948-E70A6B1D0DD3}">
            <xm:f>NOT(ISERROR(SEARCH($G$7,G2)))</xm:f>
            <xm:f>$G$7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id="{0D868342-916B-4EB6-B6DA-A6570E6248D1}">
            <xm:f>NOT(ISERROR(SEARCH($I$8,G2)))</xm:f>
            <xm:f>$I$8</xm:f>
            <x14:dxf>
              <fill>
                <patternFill>
                  <bgColor rgb="FFFF0000"/>
                </patternFill>
              </fill>
            </x14:dxf>
          </x14:cfRule>
          <x14:cfRule type="containsText" priority="3" operator="containsText" id="{40720352-0BBC-4D73-BA03-EEB3B6478AD3}">
            <xm:f>NOT(ISERROR(SEARCH($G$2,G2)))</xm:f>
            <xm:f>$G$2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G2:K21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7A75-9559-4859-9B1F-8514D3408B42}">
  <sheetPr codeName="Feuil7"/>
  <dimension ref="A1:N21"/>
  <sheetViews>
    <sheetView workbookViewId="0">
      <selection activeCell="O5" sqref="O5"/>
    </sheetView>
  </sheetViews>
  <sheetFormatPr baseColWidth="10" defaultRowHeight="15" x14ac:dyDescent="0.25"/>
  <cols>
    <col min="6" max="6" width="4.28515625" customWidth="1"/>
  </cols>
  <sheetData>
    <row r="1" spans="1:14" x14ac:dyDescent="0.2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</row>
    <row r="2" spans="1:14" x14ac:dyDescent="0.25">
      <c r="A2" s="2">
        <f>Score_altman(A!A2,A!B2,A!C2,A!D2,A!E2,A!F2,A!G2)</f>
        <v>3.7256642361207688</v>
      </c>
      <c r="B2" s="2">
        <f>Score_altman(B!A2,B!B2,B!C2,B!D2,B!E2,B!F2,B!G2)</f>
        <v>2.4137013045098472</v>
      </c>
      <c r="C2" s="2">
        <f>Score_altman('C'!A2,'C'!B2,'C'!C2,'C'!D2,'C'!E2,'C'!F2,'C'!G2)</f>
        <v>2.9483925803838336</v>
      </c>
      <c r="D2" s="2">
        <f>Score_altman(D!A2,D!B2,D!C2,D!D2,D!E2,D!F2,D!G2)</f>
        <v>4.1739169840517194</v>
      </c>
      <c r="E2" s="2">
        <f>Score_altman(E!A2,E!B2,E!C2,E!D2,E!E2,E!F2,E!G2)</f>
        <v>1.9832099234295399</v>
      </c>
      <c r="G2" s="3" t="str">
        <f>IF(A2&lt;=1.81,"Rejeté",IF(A2&gt;=2.99,"Accepté",IF(AND(A2&gt;1.81,A2&lt;2.99),"Incertitude")))</f>
        <v>Accepté</v>
      </c>
      <c r="H2" s="3" t="str">
        <f t="shared" ref="H2:K17" si="0">IF(B2&lt;=1.81,"Rejeté",IF(B2&gt;=2.99,"Accepté",IF(AND(B2&gt;1.81,B2&lt;2.99),"Incertitude")))</f>
        <v>Incertitude</v>
      </c>
      <c r="I2" s="3" t="str">
        <f t="shared" si="0"/>
        <v>Incertitude</v>
      </c>
      <c r="J2" s="3" t="str">
        <f t="shared" si="0"/>
        <v>Accepté</v>
      </c>
      <c r="K2" s="3" t="str">
        <f t="shared" si="0"/>
        <v>Incertitude</v>
      </c>
      <c r="M2" s="3" t="s">
        <v>15</v>
      </c>
      <c r="N2" s="3" t="s">
        <v>12</v>
      </c>
    </row>
    <row r="3" spans="1:14" x14ac:dyDescent="0.25">
      <c r="A3" s="2">
        <f>Score_altman(A!A3,A!B3,A!C3,A!D3,A!E3,A!F3,A!G3)</f>
        <v>2.022815501124966</v>
      </c>
      <c r="B3" s="2">
        <f>Score_altman(B!A3,B!B3,B!C3,B!D3,B!E3,B!F3,B!G3)</f>
        <v>2.8205031348194871</v>
      </c>
      <c r="C3" s="2">
        <f>Score_altman('C'!A3,'C'!B3,'C'!C3,'C'!D3,'C'!E3,'C'!F3,'C'!G3)</f>
        <v>2.7667081584741609</v>
      </c>
      <c r="D3" s="2">
        <f>Score_altman(D!A3,D!B3,D!C3,D!D3,D!E3,D!F3,D!G3)</f>
        <v>2.0759504603947008</v>
      </c>
      <c r="E3" s="2">
        <f>Score_altman(E!A3,E!B3,E!C3,E!D3,E!E3,E!F3,E!G3)</f>
        <v>1.8710779651298028</v>
      </c>
      <c r="G3" s="3" t="str">
        <f t="shared" ref="G3:K21" si="1">IF(A3&lt;=1.81,"Rejeté",IF(A3&gt;=2.99,"Accepté",IF(AND(A3&gt;1.81,A3&lt;2.99),"Incertitude")))</f>
        <v>Incertitude</v>
      </c>
      <c r="H3" s="3" t="str">
        <f t="shared" si="0"/>
        <v>Incertitude</v>
      </c>
      <c r="I3" s="3" t="str">
        <f t="shared" si="0"/>
        <v>Incertitude</v>
      </c>
      <c r="J3" s="3" t="str">
        <f t="shared" si="0"/>
        <v>Incertitude</v>
      </c>
      <c r="K3" s="3" t="str">
        <f t="shared" si="0"/>
        <v>Incertitude</v>
      </c>
      <c r="M3" s="3" t="s">
        <v>14</v>
      </c>
      <c r="N3" s="3">
        <f>COUNTIF(G2:K21,G9)</f>
        <v>27</v>
      </c>
    </row>
    <row r="4" spans="1:14" x14ac:dyDescent="0.25">
      <c r="A4" s="2">
        <f>Score_altman(A!A4,A!B4,A!C4,A!D4,A!E4,A!F4,A!G4)</f>
        <v>1.0524954658230352</v>
      </c>
      <c r="B4" s="2">
        <f>Score_altman(B!A4,B!B4,B!C4,B!D4,B!E4,B!F4,B!G4)</f>
        <v>3.5652231974642525</v>
      </c>
      <c r="C4" s="2">
        <f>Score_altman('C'!A4,'C'!B4,'C'!C4,'C'!D4,'C'!E4,'C'!F4,'C'!G4)</f>
        <v>1.4511764041326058</v>
      </c>
      <c r="D4" s="2">
        <f>Score_altman(D!A4,D!B4,D!C4,D!D4,D!E4,D!F4,D!G4)</f>
        <v>2.0626346260137094</v>
      </c>
      <c r="E4" s="2">
        <f>Score_altman(E!A4,E!B4,E!C4,E!D4,E!E4,E!F4,E!G4)</f>
        <v>2.3830842793352702</v>
      </c>
      <c r="G4" s="3" t="str">
        <f t="shared" si="1"/>
        <v>Rejeté</v>
      </c>
      <c r="H4" s="3" t="str">
        <f t="shared" si="0"/>
        <v>Accepté</v>
      </c>
      <c r="I4" s="3" t="str">
        <f t="shared" si="0"/>
        <v>Rejeté</v>
      </c>
      <c r="J4" s="3" t="str">
        <f t="shared" si="0"/>
        <v>Incertitude</v>
      </c>
      <c r="K4" s="3" t="str">
        <f t="shared" si="0"/>
        <v>Incertitude</v>
      </c>
      <c r="M4" s="3" t="s">
        <v>16</v>
      </c>
      <c r="N4" s="3">
        <f>COUNTIF(G2:K21,H11)</f>
        <v>37</v>
      </c>
    </row>
    <row r="5" spans="1:14" x14ac:dyDescent="0.25">
      <c r="A5" s="2">
        <f>Score_altman(A!A5,A!B5,A!C5,A!D5,A!E5,A!F5,A!G5)</f>
        <v>5.4192872754814472</v>
      </c>
      <c r="B5" s="2">
        <f>Score_altman(B!A5,B!B5,B!C5,B!D5,B!E5,B!F5,B!G5)</f>
        <v>-0.36182077860307349</v>
      </c>
      <c r="C5" s="2">
        <f>Score_altman('C'!A5,'C'!B5,'C'!C5,'C'!D5,'C'!E5,'C'!F5,'C'!G5)</f>
        <v>2.9527612432662238</v>
      </c>
      <c r="D5" s="2">
        <f>Score_altman(D!A5,D!B5,D!C5,D!D5,D!E5,D!F5,D!G5)</f>
        <v>1.8341424759024119</v>
      </c>
      <c r="E5" s="2">
        <f>Score_altman(E!A5,E!B5,E!C5,E!D5,E!E5,E!F5,E!G5)</f>
        <v>1.9260387490340214</v>
      </c>
      <c r="G5" s="3" t="str">
        <f t="shared" si="1"/>
        <v>Accepté</v>
      </c>
      <c r="H5" s="3" t="str">
        <f t="shared" si="0"/>
        <v>Rejeté</v>
      </c>
      <c r="I5" s="3" t="str">
        <f t="shared" si="0"/>
        <v>Incertitude</v>
      </c>
      <c r="J5" s="3" t="str">
        <f t="shared" si="0"/>
        <v>Incertitude</v>
      </c>
      <c r="K5" s="3" t="str">
        <f t="shared" si="0"/>
        <v>Incertitude</v>
      </c>
      <c r="M5" s="3" t="s">
        <v>13</v>
      </c>
      <c r="N5" s="3">
        <f>COUNTIF(G2:K21,I6)</f>
        <v>36</v>
      </c>
    </row>
    <row r="6" spans="1:14" x14ac:dyDescent="0.25">
      <c r="A6" s="2">
        <f>Score_altman(A!A6,A!B6,A!C6,A!D6,A!E6,A!F6,A!G6)</f>
        <v>3.4672294700908632</v>
      </c>
      <c r="B6" s="2">
        <f>Score_altman(B!A6,B!B6,B!C6,B!D6,B!E6,B!F6,B!G6)</f>
        <v>0.27851368457977776</v>
      </c>
      <c r="C6" s="2">
        <f>Score_altman('C'!A6,'C'!B6,'C'!C6,'C'!D6,'C'!E6,'C'!F6,'C'!G6)</f>
        <v>3.6642277796275926</v>
      </c>
      <c r="D6" s="2">
        <f>Score_altman(D!A6,D!B6,D!C6,D!D6,D!E6,D!F6,D!G6)</f>
        <v>2.3077932495717843</v>
      </c>
      <c r="E6" s="2">
        <f>Score_altman(E!A6,E!B6,E!C6,E!D6,E!E6,E!F6,E!G6)</f>
        <v>3.0554436905480218</v>
      </c>
      <c r="G6" s="3" t="str">
        <f t="shared" si="1"/>
        <v>Accepté</v>
      </c>
      <c r="H6" s="3" t="str">
        <f t="shared" si="0"/>
        <v>Rejeté</v>
      </c>
      <c r="I6" s="3" t="str">
        <f t="shared" si="0"/>
        <v>Accepté</v>
      </c>
      <c r="J6" s="3" t="str">
        <f t="shared" si="0"/>
        <v>Incertitude</v>
      </c>
      <c r="K6" s="3" t="str">
        <f t="shared" si="0"/>
        <v>Accepté</v>
      </c>
    </row>
    <row r="7" spans="1:14" x14ac:dyDescent="0.25">
      <c r="A7" s="2">
        <f>Score_altman(A!A7,A!B7,A!C7,A!D7,A!E7,A!F7,A!G7)</f>
        <v>2.4969500217324478</v>
      </c>
      <c r="B7" s="2">
        <f>Score_altman(B!A7,B!B7,B!C7,B!D7,B!E7,B!F7,B!G7)</f>
        <v>2.8743009417861618</v>
      </c>
      <c r="C7" s="2">
        <f>Score_altman('C'!A7,'C'!B7,'C'!C7,'C'!D7,'C'!E7,'C'!F7,'C'!G7)</f>
        <v>3.6008047670124168</v>
      </c>
      <c r="D7" s="2">
        <f>Score_altman(D!A7,D!B7,D!C7,D!D7,D!E7,D!F7,D!G7)</f>
        <v>1.5192087168496207</v>
      </c>
      <c r="E7" s="2">
        <f>Score_altman(E!A7,E!B7,E!C7,E!D7,E!E7,E!F7,E!G7)</f>
        <v>4.7247464392476637</v>
      </c>
      <c r="G7" s="3" t="str">
        <f t="shared" si="1"/>
        <v>Incertitude</v>
      </c>
      <c r="H7" s="3" t="str">
        <f t="shared" si="0"/>
        <v>Incertitude</v>
      </c>
      <c r="I7" s="3" t="str">
        <f t="shared" si="0"/>
        <v>Accepté</v>
      </c>
      <c r="J7" s="3" t="str">
        <f t="shared" si="0"/>
        <v>Rejeté</v>
      </c>
      <c r="K7" s="3" t="str">
        <f t="shared" si="0"/>
        <v>Accepté</v>
      </c>
    </row>
    <row r="8" spans="1:14" x14ac:dyDescent="0.25">
      <c r="A8" s="2">
        <f>Score_altman(A!A8,A!B8,A!C8,A!D8,A!E8,A!F8,A!G8)</f>
        <v>2.5531636791847845</v>
      </c>
      <c r="B8" s="2">
        <f>Score_altman(B!A8,B!B8,B!C8,B!D8,B!E8,B!F8,B!G8)</f>
        <v>4.3861017546052752</v>
      </c>
      <c r="C8" s="2">
        <f>Score_altman('C'!A8,'C'!B8,'C'!C8,'C'!D8,'C'!E8,'C'!F8,'C'!G8)</f>
        <v>1.2714110296843359</v>
      </c>
      <c r="D8" s="2">
        <f>Score_altman(D!A8,D!B8,D!C8,D!D8,D!E8,D!F8,D!G8)</f>
        <v>4.7233610434768831</v>
      </c>
      <c r="E8" s="2">
        <f>Score_altman(E!A8,E!B8,E!C8,E!D8,E!E8,E!F8,E!G8)</f>
        <v>0.95832447319648262</v>
      </c>
      <c r="G8" s="3" t="str">
        <f t="shared" si="1"/>
        <v>Incertitude</v>
      </c>
      <c r="H8" s="3" t="str">
        <f t="shared" si="0"/>
        <v>Accepté</v>
      </c>
      <c r="I8" s="3" t="str">
        <f t="shared" si="0"/>
        <v>Rejeté</v>
      </c>
      <c r="J8" s="3" t="str">
        <f t="shared" si="0"/>
        <v>Accepté</v>
      </c>
      <c r="K8" s="3" t="str">
        <f t="shared" si="0"/>
        <v>Rejeté</v>
      </c>
    </row>
    <row r="9" spans="1:14" x14ac:dyDescent="0.25">
      <c r="A9" s="2">
        <f>Score_altman(A!A9,A!B9,A!C9,A!D9,A!E9,A!F9,A!G9)</f>
        <v>1.352026321079477</v>
      </c>
      <c r="B9" s="2">
        <f>Score_altman(B!A9,B!B9,B!C9,B!D9,B!E9,B!F9,B!G9)</f>
        <v>3.0959086029659648</v>
      </c>
      <c r="C9" s="2">
        <f>Score_altman('C'!A9,'C'!B9,'C'!C9,'C'!D9,'C'!E9,'C'!F9,'C'!G9)</f>
        <v>4.1120273768929883</v>
      </c>
      <c r="D9" s="2">
        <f>Score_altman(D!A9,D!B9,D!C9,D!D9,D!E9,D!F9,D!G9)</f>
        <v>0.32120544608455637</v>
      </c>
      <c r="E9" s="2">
        <f>Score_altman(E!A9,E!B9,E!C9,E!D9,E!E9,E!F9,E!G9)</f>
        <v>2.1409314298837483</v>
      </c>
      <c r="G9" s="3" t="str">
        <f t="shared" si="1"/>
        <v>Rejeté</v>
      </c>
      <c r="H9" s="3" t="str">
        <f t="shared" si="0"/>
        <v>Accepté</v>
      </c>
      <c r="I9" s="3" t="str">
        <f t="shared" si="0"/>
        <v>Accepté</v>
      </c>
      <c r="J9" s="3" t="str">
        <f t="shared" si="0"/>
        <v>Rejeté</v>
      </c>
      <c r="K9" s="3" t="str">
        <f t="shared" si="0"/>
        <v>Incertitude</v>
      </c>
    </row>
    <row r="10" spans="1:14" x14ac:dyDescent="0.25">
      <c r="A10" s="2">
        <f>Score_altman(A!A10,A!B10,A!C10,A!D10,A!E10,A!F10,A!G10)</f>
        <v>1.9715535376170539</v>
      </c>
      <c r="B10" s="2">
        <f>Score_altman(B!A10,B!B10,B!C10,B!D10,B!E10,B!F10,B!G10)</f>
        <v>4.418001500985012</v>
      </c>
      <c r="C10" s="2">
        <f>Score_altman('C'!A10,'C'!B10,'C'!C10,'C'!D10,'C'!E10,'C'!F10,'C'!G10)</f>
        <v>1.9469759974911802</v>
      </c>
      <c r="D10" s="2">
        <f>Score_altman(D!A10,D!B10,D!C10,D!D10,D!E10,D!F10,D!G10)</f>
        <v>3.4297470434034913</v>
      </c>
      <c r="E10" s="2">
        <f>Score_altman(E!A10,E!B10,E!C10,E!D10,E!E10,E!F10,E!G10)</f>
        <v>3.6481288120937547</v>
      </c>
      <c r="G10" s="3" t="str">
        <f t="shared" si="1"/>
        <v>Incertitude</v>
      </c>
      <c r="H10" s="3" t="str">
        <f t="shared" si="0"/>
        <v>Accepté</v>
      </c>
      <c r="I10" s="3" t="str">
        <f t="shared" si="0"/>
        <v>Incertitude</v>
      </c>
      <c r="J10" s="3" t="str">
        <f t="shared" si="0"/>
        <v>Accepté</v>
      </c>
      <c r="K10" s="3" t="str">
        <f t="shared" si="0"/>
        <v>Accepté</v>
      </c>
    </row>
    <row r="11" spans="1:14" x14ac:dyDescent="0.25">
      <c r="A11" s="2">
        <f>Score_altman(A!A11,A!B11,A!C11,A!D11,A!E11,A!F11,A!G11)</f>
        <v>4.1230445131669917</v>
      </c>
      <c r="B11" s="2">
        <f>Score_altman(B!A11,B!B11,B!C11,B!D11,B!E11,B!F11,B!G11)</f>
        <v>2.1980203757624532</v>
      </c>
      <c r="C11" s="2">
        <f>Score_altman('C'!A11,'C'!B11,'C'!C11,'C'!D11,'C'!E11,'C'!F11,'C'!G11)</f>
        <v>1.811143808876218</v>
      </c>
      <c r="D11" s="2">
        <f>Score_altman(D!A11,D!B11,D!C11,D!D11,D!E11,D!F11,D!G11)</f>
        <v>2.8166187203413471</v>
      </c>
      <c r="E11" s="2">
        <f>Score_altman(E!A11,E!B11,E!C11,E!D11,E!E11,E!F11,E!G11)</f>
        <v>1.3651109221808679</v>
      </c>
      <c r="G11" s="3" t="str">
        <f t="shared" si="1"/>
        <v>Accepté</v>
      </c>
      <c r="H11" s="3" t="str">
        <f t="shared" si="0"/>
        <v>Incertitude</v>
      </c>
      <c r="I11" s="3" t="str">
        <f t="shared" si="0"/>
        <v>Incertitude</v>
      </c>
      <c r="J11" s="3" t="str">
        <f t="shared" si="0"/>
        <v>Incertitude</v>
      </c>
      <c r="K11" s="3" t="str">
        <f t="shared" si="0"/>
        <v>Rejeté</v>
      </c>
    </row>
    <row r="12" spans="1:14" x14ac:dyDescent="0.25">
      <c r="A12" s="2">
        <f>Score_altman(A!A12,A!B12,A!C12,A!D12,A!E12,A!F12,A!G12)</f>
        <v>0.68745299725557452</v>
      </c>
      <c r="B12" s="2">
        <f>Score_altman(B!A12,B!B12,B!C12,B!D12,B!E12,B!F12,B!G12)</f>
        <v>3.1656269028799993</v>
      </c>
      <c r="C12" s="2">
        <f>Score_altman('C'!A12,'C'!B12,'C'!C12,'C'!D12,'C'!E12,'C'!F12,'C'!G12)</f>
        <v>2.334715547893206</v>
      </c>
      <c r="D12" s="2">
        <f>Score_altman(D!A12,D!B12,D!C12,D!D12,D!E12,D!F12,D!G12)</f>
        <v>3.2431462536363722</v>
      </c>
      <c r="E12" s="2">
        <f>Score_altman(E!A12,E!B12,E!C12,E!D12,E!E12,E!F12,E!G12)</f>
        <v>4.3085418899048795</v>
      </c>
      <c r="G12" s="3" t="str">
        <f t="shared" si="1"/>
        <v>Rejeté</v>
      </c>
      <c r="H12" s="3" t="str">
        <f t="shared" si="0"/>
        <v>Accepté</v>
      </c>
      <c r="I12" s="3" t="str">
        <f t="shared" si="0"/>
        <v>Incertitude</v>
      </c>
      <c r="J12" s="3" t="str">
        <f t="shared" si="0"/>
        <v>Accepté</v>
      </c>
      <c r="K12" s="3" t="str">
        <f t="shared" si="0"/>
        <v>Accepté</v>
      </c>
    </row>
    <row r="13" spans="1:14" x14ac:dyDescent="0.25">
      <c r="A13" s="2">
        <f>Score_altman(A!A13,A!B13,A!C13,A!D13,A!E13,A!F13,A!G13)</f>
        <v>1.7693205778630283</v>
      </c>
      <c r="B13" s="2">
        <f>Score_altman(B!A13,B!B13,B!C13,B!D13,B!E13,B!F13,B!G13)</f>
        <v>4.7870490150188196</v>
      </c>
      <c r="C13" s="2">
        <f>Score_altman('C'!A13,'C'!B13,'C'!C13,'C'!D13,'C'!E13,'C'!F13,'C'!G13)</f>
        <v>1.0297422458274885</v>
      </c>
      <c r="D13" s="2">
        <f>Score_altman(D!A13,D!B13,D!C13,D!D13,D!E13,D!F13,D!G13)</f>
        <v>0.52165808653695744</v>
      </c>
      <c r="E13" s="2">
        <f>Score_altman(E!A13,E!B13,E!C13,E!D13,E!E13,E!F13,E!G13)</f>
        <v>2.1049708039981683</v>
      </c>
      <c r="G13" s="3" t="str">
        <f t="shared" si="1"/>
        <v>Rejeté</v>
      </c>
      <c r="H13" s="3" t="str">
        <f t="shared" si="0"/>
        <v>Accepté</v>
      </c>
      <c r="I13" s="3" t="str">
        <f t="shared" si="0"/>
        <v>Rejeté</v>
      </c>
      <c r="J13" s="3" t="str">
        <f t="shared" si="0"/>
        <v>Rejeté</v>
      </c>
      <c r="K13" s="3" t="str">
        <f t="shared" si="0"/>
        <v>Incertitude</v>
      </c>
    </row>
    <row r="14" spans="1:14" x14ac:dyDescent="0.25">
      <c r="A14" s="2">
        <f>Score_altman(A!A14,A!B14,A!C14,A!D14,A!E14,A!F14,A!G14)</f>
        <v>1.1813897705145358</v>
      </c>
      <c r="B14" s="2">
        <f>Score_altman(B!A14,B!B14,B!C14,B!D14,B!E14,B!F14,B!G14)</f>
        <v>1.779422605881855</v>
      </c>
      <c r="C14" s="2">
        <f>Score_altman('C'!A14,'C'!B14,'C'!C14,'C'!D14,'C'!E14,'C'!F14,'C'!G14)</f>
        <v>4.1155364104236849</v>
      </c>
      <c r="D14" s="2">
        <f>Score_altman(D!A14,D!B14,D!C14,D!D14,D!E14,D!F14,D!G14)</f>
        <v>2.2176795695351146</v>
      </c>
      <c r="E14" s="2">
        <f>Score_altman(E!A14,E!B14,E!C14,E!D14,E!E14,E!F14,E!G14)</f>
        <v>0.28634782144339632</v>
      </c>
      <c r="G14" s="3" t="str">
        <f t="shared" si="1"/>
        <v>Rejeté</v>
      </c>
      <c r="H14" s="3" t="str">
        <f t="shared" si="0"/>
        <v>Rejeté</v>
      </c>
      <c r="I14" s="3" t="str">
        <f t="shared" si="0"/>
        <v>Accepté</v>
      </c>
      <c r="J14" s="3" t="str">
        <f t="shared" si="0"/>
        <v>Incertitude</v>
      </c>
      <c r="K14" s="3" t="str">
        <f t="shared" si="0"/>
        <v>Rejeté</v>
      </c>
    </row>
    <row r="15" spans="1:14" x14ac:dyDescent="0.25">
      <c r="A15" s="2">
        <f>Score_altman(A!A15,A!B15,A!C15,A!D15,A!E15,A!F15,A!G15)</f>
        <v>0.67225230100045819</v>
      </c>
      <c r="B15" s="2">
        <f>Score_altman(B!A15,B!B15,B!C15,B!D15,B!E15,B!F15,B!G15)</f>
        <v>2.1461522138097835</v>
      </c>
      <c r="C15" s="2">
        <f>Score_altman('C'!A15,'C'!B15,'C'!C15,'C'!D15,'C'!E15,'C'!F15,'C'!G15)</f>
        <v>2.4772210286075791</v>
      </c>
      <c r="D15" s="2">
        <f>Score_altman(D!A15,D!B15,D!C15,D!D15,D!E15,D!F15,D!G15)</f>
        <v>1.643455818294256</v>
      </c>
      <c r="E15" s="2">
        <f>Score_altman(E!A15,E!B15,E!C15,E!D15,E!E15,E!F15,E!G15)</f>
        <v>4.4920772736349264</v>
      </c>
      <c r="G15" s="3" t="str">
        <f t="shared" si="1"/>
        <v>Rejeté</v>
      </c>
      <c r="H15" s="3" t="str">
        <f t="shared" si="0"/>
        <v>Incertitude</v>
      </c>
      <c r="I15" s="3" t="str">
        <f t="shared" si="0"/>
        <v>Incertitude</v>
      </c>
      <c r="J15" s="3" t="str">
        <f t="shared" si="0"/>
        <v>Rejeté</v>
      </c>
      <c r="K15" s="3" t="str">
        <f t="shared" si="0"/>
        <v>Accepté</v>
      </c>
    </row>
    <row r="16" spans="1:14" x14ac:dyDescent="0.25">
      <c r="A16" s="2">
        <f>Score_altman(A!A16,A!B16,A!C16,A!D16,A!E16,A!F16,A!G16)</f>
        <v>2.7409627818064171</v>
      </c>
      <c r="B16" s="2">
        <f>Score_altman(B!A16,B!B16,B!C16,B!D16,B!E16,B!F16,B!G16)</f>
        <v>3.6417554704447808</v>
      </c>
      <c r="C16" s="2">
        <f>Score_altman('C'!A16,'C'!B16,'C'!C16,'C'!D16,'C'!E16,'C'!F16,'C'!G16)</f>
        <v>3.2721716221007062</v>
      </c>
      <c r="D16" s="2">
        <f>Score_altman(D!A16,D!B16,D!C16,D!D16,D!E16,D!F16,D!G16)</f>
        <v>3.9256741578419745</v>
      </c>
      <c r="E16" s="2">
        <f>Score_altman(E!A16,E!B16,E!C16,E!D16,E!E16,E!F16,E!G16)</f>
        <v>2.9552920128472153</v>
      </c>
      <c r="G16" s="3" t="str">
        <f t="shared" si="1"/>
        <v>Incertitude</v>
      </c>
      <c r="H16" s="3" t="str">
        <f t="shared" si="0"/>
        <v>Accepté</v>
      </c>
      <c r="I16" s="3" t="str">
        <f t="shared" si="0"/>
        <v>Accepté</v>
      </c>
      <c r="J16" s="3" t="str">
        <f t="shared" si="0"/>
        <v>Accepté</v>
      </c>
      <c r="K16" s="3" t="str">
        <f t="shared" si="0"/>
        <v>Incertitude</v>
      </c>
    </row>
    <row r="17" spans="1:11" x14ac:dyDescent="0.25">
      <c r="A17" s="2">
        <f>Score_altman(A!A17,A!B17,A!C17,A!D17,A!E17,A!F17,A!G17)</f>
        <v>2.9628114092384465</v>
      </c>
      <c r="B17" s="2">
        <f>Score_altman(B!A17,B!B17,B!C17,B!D17,B!E17,B!F17,B!G17)</f>
        <v>0.92058455878652834</v>
      </c>
      <c r="C17" s="2">
        <f>Score_altman('C'!A17,'C'!B17,'C'!C17,'C'!D17,'C'!E17,'C'!F17,'C'!G17)</f>
        <v>-0.84737226072129035</v>
      </c>
      <c r="D17" s="2">
        <f>Score_altman(D!A17,D!B17,D!C17,D!D17,D!E17,D!F17,D!G17)</f>
        <v>5.4616179321218636</v>
      </c>
      <c r="E17" s="2">
        <f>Score_altman(E!A17,E!B17,E!C17,E!D17,E!E17,E!F17,E!G17)</f>
        <v>3.0442208794755539</v>
      </c>
      <c r="G17" s="3" t="str">
        <f t="shared" si="1"/>
        <v>Incertitude</v>
      </c>
      <c r="H17" s="3" t="str">
        <f t="shared" si="0"/>
        <v>Rejeté</v>
      </c>
      <c r="I17" s="3" t="str">
        <f t="shared" si="0"/>
        <v>Rejeté</v>
      </c>
      <c r="J17" s="3" t="str">
        <f t="shared" si="0"/>
        <v>Accepté</v>
      </c>
      <c r="K17" s="3" t="str">
        <f t="shared" si="0"/>
        <v>Accepté</v>
      </c>
    </row>
    <row r="18" spans="1:11" x14ac:dyDescent="0.25">
      <c r="A18" s="2">
        <f>Score_altman(A!A18,A!B18,A!C18,A!D18,A!E18,A!F18,A!G18)</f>
        <v>3.5286206172189392</v>
      </c>
      <c r="B18" s="2">
        <f>Score_altman(B!A18,B!B18,B!C18,B!D18,B!E18,B!F18,B!G18)</f>
        <v>2.7479305292058758</v>
      </c>
      <c r="C18" s="2">
        <f>Score_altman('C'!A18,'C'!B18,'C'!C18,'C'!D18,'C'!E18,'C'!F18,'C'!G18)</f>
        <v>5.2657809269204519</v>
      </c>
      <c r="D18" s="2">
        <f>Score_altman(D!A18,D!B18,D!C18,D!D18,D!E18,D!F18,D!G18)</f>
        <v>3.2767208417929541</v>
      </c>
      <c r="E18" s="2">
        <f>Score_altman(E!A18,E!B18,E!C18,E!D18,E!E18,E!F18,E!G18)</f>
        <v>1.1484423052098423</v>
      </c>
      <c r="G18" s="3" t="str">
        <f t="shared" si="1"/>
        <v>Accepté</v>
      </c>
      <c r="H18" s="3" t="str">
        <f t="shared" si="1"/>
        <v>Incertitude</v>
      </c>
      <c r="I18" s="3" t="str">
        <f t="shared" si="1"/>
        <v>Accepté</v>
      </c>
      <c r="J18" s="3" t="str">
        <f t="shared" si="1"/>
        <v>Accepté</v>
      </c>
      <c r="K18" s="3" t="str">
        <f t="shared" si="1"/>
        <v>Rejeté</v>
      </c>
    </row>
    <row r="19" spans="1:11" x14ac:dyDescent="0.25">
      <c r="A19" s="2">
        <f>Score_altman(A!A19,A!B19,A!C19,A!D19,A!E19,A!F19,A!G19)</f>
        <v>1.9019956661183672</v>
      </c>
      <c r="B19" s="2">
        <f>Score_altman(B!A19,B!B19,B!C19,B!D19,B!E19,B!F19,B!G19)</f>
        <v>1.0453682153318928</v>
      </c>
      <c r="C19" s="2">
        <f>Score_altman('C'!A19,'C'!B19,'C'!C19,'C'!D19,'C'!E19,'C'!F19,'C'!G19)</f>
        <v>3.4142665350455639</v>
      </c>
      <c r="D19" s="2">
        <f>Score_altman(D!A19,D!B19,D!C19,D!D19,D!E19,D!F19,D!G19)</f>
        <v>1.4487523689651362E-2</v>
      </c>
      <c r="E19" s="2">
        <f>Score_altman(E!A19,E!B19,E!C19,E!D19,E!E19,E!F19,E!G19)</f>
        <v>1.8822647010704068</v>
      </c>
      <c r="G19" s="3" t="str">
        <f t="shared" si="1"/>
        <v>Incertitude</v>
      </c>
      <c r="H19" s="3" t="str">
        <f t="shared" si="1"/>
        <v>Rejeté</v>
      </c>
      <c r="I19" s="3" t="str">
        <f t="shared" si="1"/>
        <v>Accepté</v>
      </c>
      <c r="J19" s="3" t="str">
        <f t="shared" si="1"/>
        <v>Rejeté</v>
      </c>
      <c r="K19" s="3" t="str">
        <f t="shared" si="1"/>
        <v>Incertitude</v>
      </c>
    </row>
    <row r="20" spans="1:11" x14ac:dyDescent="0.25">
      <c r="A20" s="2">
        <f>Score_altman(A!A20,A!B20,A!C20,A!D20,A!E20,A!F20,A!G20)</f>
        <v>3.1514402150388876</v>
      </c>
      <c r="B20" s="2">
        <f>Score_altman(B!A20,B!B20,B!C20,B!D20,B!E20,B!F20,B!G20)</f>
        <v>4.5444856009559746</v>
      </c>
      <c r="C20" s="2">
        <f>Score_altman('C'!A20,'C'!B20,'C'!C20,'C'!D20,'C'!E20,'C'!F20,'C'!G20)</f>
        <v>1.4701666042188455</v>
      </c>
      <c r="D20" s="2">
        <f>Score_altman(D!A20,D!B20,D!C20,D!D20,D!E20,D!F20,D!G20)</f>
        <v>4.8117166849142325</v>
      </c>
      <c r="E20" s="2">
        <f>Score_altman(E!A20,E!B20,E!C20,E!D20,E!E20,E!F20,E!G20)</f>
        <v>2.0136186252210755</v>
      </c>
      <c r="G20" s="3" t="str">
        <f t="shared" si="1"/>
        <v>Accepté</v>
      </c>
      <c r="H20" s="3" t="str">
        <f t="shared" si="1"/>
        <v>Accepté</v>
      </c>
      <c r="I20" s="3" t="str">
        <f t="shared" si="1"/>
        <v>Rejeté</v>
      </c>
      <c r="J20" s="3" t="str">
        <f t="shared" si="1"/>
        <v>Accepté</v>
      </c>
      <c r="K20" s="3" t="str">
        <f t="shared" si="1"/>
        <v>Incertitude</v>
      </c>
    </row>
    <row r="21" spans="1:11" x14ac:dyDescent="0.25">
      <c r="A21" s="2">
        <f>Score_altman(A!A21,A!B21,A!C21,A!D21,A!E21,A!F21,A!G21)</f>
        <v>0.45246067042608756</v>
      </c>
      <c r="B21" s="2">
        <f>Score_altman(B!A21,B!B21,B!C21,B!D21,B!E21,B!F21,B!G21)</f>
        <v>2.5016483353282704</v>
      </c>
      <c r="C21" s="2">
        <f>Score_altman('C'!A21,'C'!B21,'C'!C21,'C'!D21,'C'!E21,'C'!F21,'C'!G21)</f>
        <v>3.3947584178554155</v>
      </c>
      <c r="D21" s="2">
        <f>Score_altman(D!A21,D!B21,D!C21,D!D21,D!E21,D!F21,D!G21)</f>
        <v>0.47210265997456147</v>
      </c>
      <c r="E21" s="2">
        <f>Score_altman(E!A21,E!B21,E!C21,E!D21,E!E21,E!F21,E!G21)</f>
        <v>2.0531032620885483</v>
      </c>
      <c r="G21" s="3" t="str">
        <f>IF(A21&lt;=1.81,"Rejeté",IF(A21&gt;=2.99,"Accepté",IF(AND(A21&gt;1.81,A21&lt;2.99),"Incertitude")))</f>
        <v>Rejeté</v>
      </c>
      <c r="H21" s="3" t="str">
        <f t="shared" si="1"/>
        <v>Incertitude</v>
      </c>
      <c r="I21" s="3" t="str">
        <f t="shared" si="1"/>
        <v>Accepté</v>
      </c>
      <c r="J21" s="3" t="str">
        <f t="shared" si="1"/>
        <v>Rejeté</v>
      </c>
      <c r="K21" s="3" t="str">
        <f t="shared" si="1"/>
        <v>Incertitude</v>
      </c>
    </row>
  </sheetData>
  <conditionalFormatting sqref="A1:E21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G1:K1">
    <cfRule type="colorScale" priority="1">
      <colorScale>
        <cfvo type="min"/>
        <cfvo type="percentile" val="50"/>
        <cfvo type="max"/>
        <color rgb="FFFF0000"/>
        <color rgb="FFFFFF00"/>
        <color rgb="FF00B05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1D41787F-14AF-4BDC-97F7-090A5C966FBB}">
            <xm:f>NOT(ISERROR(SEARCH($G$7,G2)))</xm:f>
            <xm:f>$G$7</xm:f>
            <x14:dxf>
              <fill>
                <patternFill>
                  <bgColor rgb="FFFFFF00"/>
                </patternFill>
              </fill>
            </x14:dxf>
          </x14:cfRule>
          <x14:cfRule type="containsText" priority="4" operator="containsText" id="{014691E5-7142-4AAE-9437-9B67B8048D22}">
            <xm:f>NOT(ISERROR(SEARCH($I$8,G2)))</xm:f>
            <xm:f>$I$8</xm:f>
            <x14:dxf>
              <fill>
                <patternFill>
                  <bgColor rgb="FFFF0000"/>
                </patternFill>
              </fill>
            </x14:dxf>
          </x14:cfRule>
          <x14:cfRule type="containsText" priority="5" operator="containsText" id="{C155D9B8-ACC3-4FED-B041-CCA3DACC64BB}">
            <xm:f>NOT(ISERROR(SEARCH($G$2,G2)))</xm:f>
            <xm:f>$G$2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G2:K21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21"/>
  <sheetViews>
    <sheetView workbookViewId="0">
      <selection activeCell="J4" sqref="J4"/>
    </sheetView>
  </sheetViews>
  <sheetFormatPr baseColWidth="10" defaultRowHeight="15" x14ac:dyDescent="0.25"/>
  <cols>
    <col min="1" max="7" width="11.42578125" style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17</v>
      </c>
    </row>
    <row r="2" spans="1:10" x14ac:dyDescent="0.25">
      <c r="A2" s="1">
        <v>-12669592</v>
      </c>
      <c r="B2" s="1">
        <v>10220287</v>
      </c>
      <c r="C2" s="1">
        <v>11602297</v>
      </c>
      <c r="D2" s="1">
        <v>10120287</v>
      </c>
      <c r="E2" s="1">
        <v>356403</v>
      </c>
      <c r="F2" s="1">
        <v>24271889</v>
      </c>
      <c r="G2" s="1">
        <v>10632838</v>
      </c>
      <c r="H2">
        <f>Score_altman(A2,B2,C2,D2,E2,F2,G2)</f>
        <v>3.7256642361207688</v>
      </c>
    </row>
    <row r="3" spans="1:10" x14ac:dyDescent="0.25">
      <c r="A3" s="1">
        <v>25099</v>
      </c>
      <c r="B3" s="1">
        <v>4788760</v>
      </c>
      <c r="C3" s="1">
        <v>13566555</v>
      </c>
      <c r="D3" s="1">
        <v>4688760</v>
      </c>
      <c r="E3" s="1">
        <v>304782</v>
      </c>
      <c r="F3" s="1">
        <v>13541456</v>
      </c>
      <c r="G3" s="1">
        <v>5057196</v>
      </c>
      <c r="H3">
        <f t="shared" ref="H3:H21" si="0">Score_altman(A3,B3,C3,D3,E3,F3,G3)</f>
        <v>2.022815501124966</v>
      </c>
    </row>
    <row r="4" spans="1:10" x14ac:dyDescent="0.25">
      <c r="A4" s="1">
        <v>5697159</v>
      </c>
      <c r="B4" s="1">
        <v>3196660</v>
      </c>
      <c r="C4" s="1">
        <v>24032434</v>
      </c>
      <c r="D4" s="1">
        <v>3096660</v>
      </c>
      <c r="E4" s="1">
        <v>123104</v>
      </c>
      <c r="F4" s="1">
        <v>18335275</v>
      </c>
      <c r="G4" s="1">
        <v>3669992</v>
      </c>
      <c r="H4">
        <f t="shared" si="0"/>
        <v>1.0524954658230352</v>
      </c>
    </row>
    <row r="5" spans="1:10" x14ac:dyDescent="0.25">
      <c r="A5" s="1">
        <v>115702</v>
      </c>
      <c r="B5" s="1">
        <v>13625272</v>
      </c>
      <c r="C5" s="1">
        <v>14446232</v>
      </c>
      <c r="D5" s="1">
        <v>13525272</v>
      </c>
      <c r="E5" s="1">
        <v>476972</v>
      </c>
      <c r="F5" s="1">
        <v>14330530</v>
      </c>
      <c r="G5" s="1">
        <v>14166333</v>
      </c>
      <c r="H5">
        <f t="shared" si="0"/>
        <v>5.4192872754814472</v>
      </c>
      <c r="J5" s="1"/>
    </row>
    <row r="6" spans="1:10" x14ac:dyDescent="0.25">
      <c r="A6" s="1">
        <v>3816720</v>
      </c>
      <c r="B6" s="1">
        <v>9331367</v>
      </c>
      <c r="C6" s="1">
        <v>16832148</v>
      </c>
      <c r="D6" s="1">
        <v>9231367</v>
      </c>
      <c r="E6" s="1">
        <v>309696</v>
      </c>
      <c r="F6" s="1">
        <v>13015428</v>
      </c>
      <c r="G6" s="1">
        <v>10023146</v>
      </c>
      <c r="H6">
        <f t="shared" si="0"/>
        <v>3.4672294700908632</v>
      </c>
      <c r="J6" s="1"/>
    </row>
    <row r="7" spans="1:10" x14ac:dyDescent="0.25">
      <c r="A7" s="1">
        <v>14124528</v>
      </c>
      <c r="B7" s="1">
        <v>7460138</v>
      </c>
      <c r="C7" s="1">
        <v>24258979</v>
      </c>
      <c r="D7" s="1">
        <v>7360138</v>
      </c>
      <c r="E7" s="1">
        <v>458504</v>
      </c>
      <c r="F7" s="1">
        <v>10134451</v>
      </c>
      <c r="G7" s="1">
        <v>8241103</v>
      </c>
      <c r="H7">
        <f t="shared" si="0"/>
        <v>2.4969500217324478</v>
      </c>
    </row>
    <row r="8" spans="1:10" x14ac:dyDescent="0.25">
      <c r="A8" s="1">
        <v>1559563</v>
      </c>
      <c r="B8" s="1">
        <v>8221100</v>
      </c>
      <c r="C8" s="1">
        <v>19201074</v>
      </c>
      <c r="D8" s="1">
        <v>8121100</v>
      </c>
      <c r="E8" s="1">
        <v>410821</v>
      </c>
      <c r="F8" s="1">
        <v>17641511</v>
      </c>
      <c r="G8" s="1">
        <v>8583139</v>
      </c>
      <c r="H8">
        <f t="shared" si="0"/>
        <v>2.5531636791847845</v>
      </c>
    </row>
    <row r="9" spans="1:10" x14ac:dyDescent="0.25">
      <c r="A9" s="1">
        <v>7220041</v>
      </c>
      <c r="B9" s="1">
        <v>3141192</v>
      </c>
      <c r="C9" s="1">
        <v>19726999</v>
      </c>
      <c r="D9" s="1">
        <v>3041192</v>
      </c>
      <c r="E9" s="1">
        <v>113888</v>
      </c>
      <c r="F9" s="1">
        <v>12506958</v>
      </c>
      <c r="G9" s="1">
        <v>3469461</v>
      </c>
      <c r="H9">
        <f t="shared" si="0"/>
        <v>1.352026321079477</v>
      </c>
    </row>
    <row r="10" spans="1:10" x14ac:dyDescent="0.25">
      <c r="A10" s="1">
        <v>-7705792</v>
      </c>
      <c r="B10" s="1">
        <v>6297910</v>
      </c>
      <c r="C10" s="1">
        <v>13749043</v>
      </c>
      <c r="D10" s="1">
        <v>6197910</v>
      </c>
      <c r="E10" s="1">
        <v>223844</v>
      </c>
      <c r="F10" s="1">
        <v>21454835</v>
      </c>
      <c r="G10" s="1">
        <v>7004684</v>
      </c>
      <c r="H10">
        <f t="shared" si="0"/>
        <v>1.9715535376170539</v>
      </c>
    </row>
    <row r="11" spans="1:10" x14ac:dyDescent="0.25">
      <c r="A11" s="1">
        <v>-5770669</v>
      </c>
      <c r="B11" s="1">
        <v>10843396</v>
      </c>
      <c r="C11" s="1">
        <v>13446647</v>
      </c>
      <c r="D11" s="1">
        <v>10743396</v>
      </c>
      <c r="E11" s="1">
        <v>293434</v>
      </c>
      <c r="F11" s="1">
        <v>19217316</v>
      </c>
      <c r="G11" s="1">
        <v>11620394</v>
      </c>
      <c r="H11">
        <f t="shared" si="0"/>
        <v>4.1230445131669917</v>
      </c>
    </row>
    <row r="12" spans="1:10" x14ac:dyDescent="0.25">
      <c r="A12" s="1">
        <v>162202</v>
      </c>
      <c r="B12" s="1">
        <v>2707649</v>
      </c>
      <c r="C12" s="1">
        <v>23575056</v>
      </c>
      <c r="D12" s="1">
        <v>2607649</v>
      </c>
      <c r="E12" s="1">
        <v>245758</v>
      </c>
      <c r="F12" s="1">
        <v>23412854</v>
      </c>
      <c r="G12" s="1">
        <v>3471145</v>
      </c>
      <c r="H12">
        <f t="shared" si="0"/>
        <v>0.68745299725557452</v>
      </c>
    </row>
    <row r="13" spans="1:10" x14ac:dyDescent="0.25">
      <c r="A13" s="1">
        <v>10279145</v>
      </c>
      <c r="B13" s="1">
        <v>4100015</v>
      </c>
      <c r="C13" s="1">
        <v>20671895</v>
      </c>
      <c r="D13" s="1">
        <v>4000015</v>
      </c>
      <c r="E13" s="1">
        <v>340240</v>
      </c>
      <c r="F13" s="1">
        <v>10392750</v>
      </c>
      <c r="G13" s="1">
        <v>4899009</v>
      </c>
      <c r="H13">
        <f t="shared" si="0"/>
        <v>1.7693205778630283</v>
      </c>
    </row>
    <row r="14" spans="1:10" x14ac:dyDescent="0.25">
      <c r="A14" s="1">
        <v>-816657</v>
      </c>
      <c r="B14" s="1">
        <v>3314632</v>
      </c>
      <c r="C14" s="1">
        <v>15620529</v>
      </c>
      <c r="D14" s="1">
        <v>3214632</v>
      </c>
      <c r="E14" s="1">
        <v>223387</v>
      </c>
      <c r="F14" s="1">
        <v>16437186</v>
      </c>
      <c r="G14" s="1">
        <v>4061840</v>
      </c>
      <c r="H14">
        <f t="shared" si="0"/>
        <v>1.1813897705145358</v>
      </c>
    </row>
    <row r="15" spans="1:10" x14ac:dyDescent="0.25">
      <c r="A15" s="1">
        <v>-4693175</v>
      </c>
      <c r="B15" s="1">
        <v>2622315</v>
      </c>
      <c r="C15" s="1">
        <v>14177487</v>
      </c>
      <c r="D15" s="1">
        <v>2522315</v>
      </c>
      <c r="E15" s="1">
        <v>407920</v>
      </c>
      <c r="F15" s="1">
        <v>18870662</v>
      </c>
      <c r="G15" s="1">
        <v>2986883</v>
      </c>
      <c r="H15">
        <f t="shared" si="0"/>
        <v>0.67225230100045819</v>
      </c>
    </row>
    <row r="16" spans="1:10" x14ac:dyDescent="0.25">
      <c r="A16" s="1">
        <v>11803165</v>
      </c>
      <c r="B16" s="1">
        <v>9120635</v>
      </c>
      <c r="C16" s="1">
        <v>24192612</v>
      </c>
      <c r="D16" s="1">
        <v>9020635</v>
      </c>
      <c r="E16" s="1">
        <v>189359</v>
      </c>
      <c r="F16" s="1">
        <v>12389447</v>
      </c>
      <c r="G16" s="1">
        <v>9397810</v>
      </c>
      <c r="H16">
        <f t="shared" si="0"/>
        <v>2.7409627818064171</v>
      </c>
    </row>
    <row r="17" spans="1:8" x14ac:dyDescent="0.25">
      <c r="A17" s="1">
        <v>5183016</v>
      </c>
      <c r="B17" s="1">
        <v>8787655</v>
      </c>
      <c r="C17" s="1">
        <v>19195036</v>
      </c>
      <c r="D17" s="1">
        <v>8687655</v>
      </c>
      <c r="E17" s="1">
        <v>123284</v>
      </c>
      <c r="F17" s="1">
        <v>14012020</v>
      </c>
      <c r="G17" s="1">
        <v>9587930</v>
      </c>
      <c r="H17">
        <f t="shared" si="0"/>
        <v>2.9628114092384465</v>
      </c>
    </row>
    <row r="18" spans="1:8" x14ac:dyDescent="0.25">
      <c r="A18" s="1">
        <v>2841324</v>
      </c>
      <c r="B18" s="1">
        <v>10208886</v>
      </c>
      <c r="C18" s="1">
        <v>17581204</v>
      </c>
      <c r="D18" s="1">
        <v>10108886</v>
      </c>
      <c r="E18" s="1">
        <v>100485</v>
      </c>
      <c r="F18" s="1">
        <v>14739880</v>
      </c>
      <c r="G18" s="1">
        <v>10915048</v>
      </c>
      <c r="H18">
        <f t="shared" si="0"/>
        <v>3.5286206172189392</v>
      </c>
    </row>
    <row r="19" spans="1:8" x14ac:dyDescent="0.25">
      <c r="A19" s="1">
        <v>2034404</v>
      </c>
      <c r="B19" s="1">
        <v>6354879</v>
      </c>
      <c r="C19" s="1">
        <v>20751230</v>
      </c>
      <c r="D19" s="1">
        <v>6254879</v>
      </c>
      <c r="E19" s="1">
        <v>326177</v>
      </c>
      <c r="F19" s="1">
        <v>18716826</v>
      </c>
      <c r="G19" s="1">
        <v>7279835</v>
      </c>
      <c r="H19">
        <f t="shared" si="0"/>
        <v>1.9019956661183672</v>
      </c>
    </row>
    <row r="20" spans="1:8" x14ac:dyDescent="0.25">
      <c r="A20" s="1">
        <v>-1275318</v>
      </c>
      <c r="B20" s="1">
        <v>9373731</v>
      </c>
      <c r="C20" s="1">
        <v>16635128</v>
      </c>
      <c r="D20" s="1">
        <v>9273731</v>
      </c>
      <c r="E20" s="1">
        <v>231357</v>
      </c>
      <c r="F20" s="1">
        <v>17910446</v>
      </c>
      <c r="G20" s="1">
        <v>10109637</v>
      </c>
      <c r="H20">
        <f t="shared" si="0"/>
        <v>3.1514402150388876</v>
      </c>
    </row>
    <row r="21" spans="1:8" x14ac:dyDescent="0.25">
      <c r="A21" s="1">
        <v>-5685903</v>
      </c>
      <c r="B21" s="1">
        <v>2132209</v>
      </c>
      <c r="C21" s="1">
        <v>12453407</v>
      </c>
      <c r="D21" s="1">
        <v>2032209</v>
      </c>
      <c r="E21" s="1">
        <v>308071</v>
      </c>
      <c r="F21" s="1">
        <v>18139310</v>
      </c>
      <c r="G21" s="1">
        <v>2642118</v>
      </c>
      <c r="H21">
        <f t="shared" si="0"/>
        <v>0.45246067042608756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29BFF-0E1B-4A62-8CAA-BD61F73CE13A}">
  <sheetPr codeName="Feuil9"/>
  <dimension ref="A1:H16"/>
  <sheetViews>
    <sheetView workbookViewId="0">
      <selection activeCell="E12" sqref="E12"/>
    </sheetView>
  </sheetViews>
  <sheetFormatPr baseColWidth="10" defaultRowHeight="15" x14ac:dyDescent="0.25"/>
  <sheetData>
    <row r="1" spans="1:8" ht="23.25" x14ac:dyDescent="0.35">
      <c r="C1" s="15" t="s">
        <v>76</v>
      </c>
    </row>
    <row r="2" spans="1:8" x14ac:dyDescent="0.25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17" t="s">
        <v>17</v>
      </c>
    </row>
    <row r="3" spans="1:8" x14ac:dyDescent="0.25">
      <c r="A3" s="21">
        <v>25099</v>
      </c>
      <c r="B3" s="21">
        <v>4788760</v>
      </c>
      <c r="C3" s="21">
        <v>13566555</v>
      </c>
      <c r="D3" s="21">
        <v>4688760</v>
      </c>
      <c r="E3" s="21">
        <v>304782</v>
      </c>
      <c r="F3" s="21">
        <v>13541456</v>
      </c>
      <c r="G3" s="21">
        <v>5057196</v>
      </c>
      <c r="H3" s="18">
        <v>2.022815501124966</v>
      </c>
    </row>
    <row r="4" spans="1:8" x14ac:dyDescent="0.25">
      <c r="A4" s="21">
        <v>14124528</v>
      </c>
      <c r="B4" s="21">
        <v>7460138</v>
      </c>
      <c r="C4" s="21">
        <v>24258979</v>
      </c>
      <c r="D4" s="21">
        <v>7360138</v>
      </c>
      <c r="E4" s="21">
        <v>458504</v>
      </c>
      <c r="F4" s="21">
        <v>10134451</v>
      </c>
      <c r="G4" s="21">
        <v>8241103</v>
      </c>
      <c r="H4" s="18">
        <v>2.4969500217324478</v>
      </c>
    </row>
    <row r="5" spans="1:8" x14ac:dyDescent="0.25">
      <c r="A5" s="21">
        <v>1559563</v>
      </c>
      <c r="B5" s="21">
        <v>8221100</v>
      </c>
      <c r="C5" s="21">
        <v>19201074</v>
      </c>
      <c r="D5" s="21">
        <v>8121100</v>
      </c>
      <c r="E5" s="21">
        <v>410821</v>
      </c>
      <c r="F5" s="21">
        <v>17641511</v>
      </c>
      <c r="G5" s="21">
        <v>8583139</v>
      </c>
      <c r="H5" s="18">
        <v>2.5531636791847845</v>
      </c>
    </row>
    <row r="6" spans="1:8" x14ac:dyDescent="0.25">
      <c r="A6" s="21">
        <v>-7705792</v>
      </c>
      <c r="B6" s="21">
        <v>6297910</v>
      </c>
      <c r="C6" s="21">
        <v>13749043</v>
      </c>
      <c r="D6" s="21">
        <v>6197910</v>
      </c>
      <c r="E6" s="21">
        <v>223844</v>
      </c>
      <c r="F6" s="21">
        <v>21454835</v>
      </c>
      <c r="G6" s="21">
        <v>7004684</v>
      </c>
      <c r="H6" s="18">
        <v>1.9715535376170539</v>
      </c>
    </row>
    <row r="7" spans="1:8" x14ac:dyDescent="0.25">
      <c r="A7" s="21">
        <v>11803165</v>
      </c>
      <c r="B7" s="21">
        <v>9120635</v>
      </c>
      <c r="C7" s="21">
        <v>24192612</v>
      </c>
      <c r="D7" s="21">
        <v>9020635</v>
      </c>
      <c r="E7" s="21">
        <v>189359</v>
      </c>
      <c r="F7" s="21">
        <v>12389447</v>
      </c>
      <c r="G7" s="21">
        <v>9397810</v>
      </c>
      <c r="H7" s="18">
        <v>2.7409627818064171</v>
      </c>
    </row>
    <row r="8" spans="1:8" x14ac:dyDescent="0.25">
      <c r="A8" s="21">
        <v>5183016</v>
      </c>
      <c r="B8" s="21">
        <v>8787655</v>
      </c>
      <c r="C8" s="21">
        <v>19195036</v>
      </c>
      <c r="D8" s="21">
        <v>8687655</v>
      </c>
      <c r="E8" s="21">
        <v>123284</v>
      </c>
      <c r="F8" s="21">
        <v>14012020</v>
      </c>
      <c r="G8" s="21">
        <v>9587930</v>
      </c>
      <c r="H8" s="18">
        <v>2.9628114092384465</v>
      </c>
    </row>
    <row r="9" spans="1:8" x14ac:dyDescent="0.25">
      <c r="A9" s="21">
        <v>2034404</v>
      </c>
      <c r="B9" s="21">
        <v>6354879</v>
      </c>
      <c r="C9" s="21">
        <v>20751230</v>
      </c>
      <c r="D9" s="21">
        <v>6254879</v>
      </c>
      <c r="E9" s="21">
        <v>326177</v>
      </c>
      <c r="F9" s="21">
        <v>18716826</v>
      </c>
      <c r="G9" s="21">
        <v>7279835</v>
      </c>
      <c r="H9" s="18">
        <v>1.9019956661183672</v>
      </c>
    </row>
    <row r="10" spans="1:8" x14ac:dyDescent="0.25">
      <c r="A10" s="1"/>
      <c r="B10" s="1"/>
      <c r="C10" s="1"/>
      <c r="D10" s="1"/>
      <c r="E10" s="1"/>
      <c r="F10" s="1"/>
      <c r="G10" s="1"/>
    </row>
    <row r="11" spans="1:8" x14ac:dyDescent="0.25">
      <c r="A11" s="1"/>
      <c r="B11" s="1"/>
      <c r="C11" s="1"/>
      <c r="D11" s="1"/>
      <c r="E11" s="1"/>
      <c r="F11" s="1"/>
      <c r="G11" s="1"/>
    </row>
    <row r="12" spans="1:8" x14ac:dyDescent="0.25">
      <c r="A12" s="1"/>
      <c r="B12" s="1"/>
      <c r="C12" s="1"/>
      <c r="D12" s="1"/>
      <c r="E12" s="1"/>
      <c r="F12" s="1"/>
      <c r="G12" s="1"/>
    </row>
    <row r="13" spans="1:8" x14ac:dyDescent="0.25">
      <c r="A13" s="1"/>
      <c r="B13" s="1"/>
      <c r="C13" s="1"/>
      <c r="D13" s="1"/>
      <c r="E13" s="1"/>
      <c r="F13" s="1"/>
      <c r="G13" s="1"/>
    </row>
    <row r="14" spans="1:8" x14ac:dyDescent="0.25">
      <c r="A14" s="1"/>
      <c r="B14" s="1"/>
      <c r="C14" s="1"/>
      <c r="D14" s="1"/>
      <c r="E14" s="1"/>
      <c r="F14" s="1"/>
      <c r="G14" s="1"/>
    </row>
    <row r="15" spans="1:8" x14ac:dyDescent="0.25">
      <c r="A15" s="1"/>
      <c r="B15" s="1"/>
      <c r="C15" s="1"/>
      <c r="D15" s="1"/>
      <c r="E15" s="1"/>
      <c r="F15" s="1"/>
      <c r="G15" s="1"/>
    </row>
    <row r="16" spans="1:8" x14ac:dyDescent="0.25">
      <c r="A16" s="1"/>
      <c r="B16" s="1"/>
      <c r="C16" s="1"/>
      <c r="D16" s="1"/>
      <c r="E16" s="1"/>
      <c r="F16" s="1"/>
      <c r="G16" s="1"/>
    </row>
  </sheetData>
  <scenarios current="0">
    <scenario name="zone A" count="7" user="HP PC" comment="Créé par HP PC le 2/29/2020">
      <inputCells r="A3" val="25099"/>
      <inputCells r="B3" val="4788760"/>
      <inputCells r="C3" val="13566555"/>
      <inputCells r="D3" val="4688760"/>
      <inputCells r="E3" val="304782"/>
      <inputCells r="F3" val="13541456"/>
      <inputCells r="G3" val="5057196"/>
    </scenario>
  </scenario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0E0E2-7D44-4704-AB78-087B99FD43BB}">
  <sheetPr codeName="Feuil14"/>
  <dimension ref="A3:K20"/>
  <sheetViews>
    <sheetView workbookViewId="0">
      <selection activeCell="I11" sqref="I11"/>
    </sheetView>
  </sheetViews>
  <sheetFormatPr baseColWidth="10" defaultRowHeight="15" x14ac:dyDescent="0.25"/>
  <cols>
    <col min="7" max="7" width="13.85546875" customWidth="1"/>
    <col min="8" max="8" width="14.28515625" customWidth="1"/>
    <col min="9" max="9" width="15.85546875" customWidth="1"/>
    <col min="10" max="10" width="14.85546875" customWidth="1"/>
    <col min="11" max="11" width="15" customWidth="1"/>
  </cols>
  <sheetData>
    <row r="3" spans="1:11" x14ac:dyDescent="0.25">
      <c r="G3" t="s">
        <v>19</v>
      </c>
      <c r="I3" t="s">
        <v>20</v>
      </c>
    </row>
    <row r="4" spans="1:11" x14ac:dyDescent="0.25">
      <c r="G4" t="s">
        <v>21</v>
      </c>
      <c r="I4">
        <f>SUM(G7:K7)</f>
        <v>2.9899992781015983</v>
      </c>
    </row>
    <row r="6" spans="1:11" x14ac:dyDescent="0.25">
      <c r="G6" t="s">
        <v>22</v>
      </c>
      <c r="H6" t="s">
        <v>25</v>
      </c>
      <c r="I6" t="s">
        <v>61</v>
      </c>
      <c r="J6" t="s">
        <v>23</v>
      </c>
      <c r="K6" t="s">
        <v>24</v>
      </c>
    </row>
    <row r="7" spans="1:11" x14ac:dyDescent="0.25">
      <c r="G7">
        <f>1.2*A20/C20</f>
        <v>0.17122316481000241</v>
      </c>
      <c r="H7">
        <f>1.4*B20/C20</f>
        <v>0.65177901951756445</v>
      </c>
      <c r="I7">
        <f>3.3*D20/C20</f>
        <v>1.6294406129544567</v>
      </c>
      <c r="J7">
        <f>0.6*E20/F20</f>
        <v>1.0486315370178759E-2</v>
      </c>
      <c r="K7">
        <f>0.999*G20/C20</f>
        <v>0.52707016544939622</v>
      </c>
    </row>
    <row r="12" spans="1:11" ht="23.25" x14ac:dyDescent="0.35">
      <c r="A12" s="15" t="s">
        <v>79</v>
      </c>
    </row>
    <row r="13" spans="1:11" x14ac:dyDescent="0.25">
      <c r="A13" s="25" t="s">
        <v>0</v>
      </c>
      <c r="B13" s="25" t="s">
        <v>1</v>
      </c>
      <c r="C13" s="25" t="s">
        <v>2</v>
      </c>
      <c r="D13" s="25" t="s">
        <v>3</v>
      </c>
      <c r="E13" s="25" t="s">
        <v>4</v>
      </c>
      <c r="F13" s="25" t="s">
        <v>5</v>
      </c>
      <c r="G13" s="25" t="s">
        <v>6</v>
      </c>
      <c r="H13" s="22" t="s">
        <v>20</v>
      </c>
    </row>
    <row r="14" spans="1:11" x14ac:dyDescent="0.25">
      <c r="A14" s="26">
        <v>25105.70980026908</v>
      </c>
      <c r="B14" s="26">
        <v>5073723.8107619165</v>
      </c>
      <c r="C14" s="26">
        <v>10082454.294388782</v>
      </c>
      <c r="D14" s="26">
        <v>5332700.0940062562</v>
      </c>
      <c r="E14" s="26">
        <v>305260.52592813462</v>
      </c>
      <c r="F14" s="26">
        <v>13520186.915083932</v>
      </c>
      <c r="G14" s="26">
        <v>5283973.8320245938</v>
      </c>
      <c r="H14" s="22">
        <f>Score_altman(A14,B14,C14,D14,E14,F14,G14)</f>
        <v>2.9899988878971708</v>
      </c>
    </row>
    <row r="15" spans="1:11" x14ac:dyDescent="0.25">
      <c r="A15" s="26">
        <v>14658630.900293041</v>
      </c>
      <c r="B15" s="26">
        <v>7633965.1209721956</v>
      </c>
      <c r="C15" s="26">
        <v>21016310.311271634</v>
      </c>
      <c r="D15" s="26">
        <v>7758962.322023618</v>
      </c>
      <c r="E15" s="26">
        <v>459177.60544168047</v>
      </c>
      <c r="F15" s="26">
        <v>10119562.126857778</v>
      </c>
      <c r="G15" s="26">
        <v>8392470.2550888527</v>
      </c>
      <c r="H15" s="22">
        <f t="shared" ref="H15:H20" si="0">Score_altman(A15,B15,C15,D15,E15,F15,G15)</f>
        <v>2.9899984390730805</v>
      </c>
    </row>
    <row r="16" spans="1:11" x14ac:dyDescent="0.25">
      <c r="A16" s="26">
        <v>1566154.8202426371</v>
      </c>
      <c r="B16" s="26">
        <v>8434800.804370692</v>
      </c>
      <c r="C16" s="26">
        <v>17086787.310473263</v>
      </c>
      <c r="D16" s="26">
        <v>8612643.4738281891</v>
      </c>
      <c r="E16" s="26">
        <v>411069.9227131732</v>
      </c>
      <c r="F16" s="26">
        <v>17630821.761098716</v>
      </c>
      <c r="G16" s="26">
        <v>8749356.2250046786</v>
      </c>
      <c r="H16" s="22">
        <f t="shared" si="0"/>
        <v>2.9899983033266722</v>
      </c>
    </row>
    <row r="17" spans="1:8" x14ac:dyDescent="0.25">
      <c r="A17" s="26">
        <v>159965.39624062515</v>
      </c>
      <c r="B17" s="26">
        <v>6422571.1679918943</v>
      </c>
      <c r="C17" s="26">
        <v>12629595.524114557</v>
      </c>
      <c r="D17" s="26">
        <v>6482496.7816293752</v>
      </c>
      <c r="E17" s="26">
        <v>223887.25135429713</v>
      </c>
      <c r="F17" s="26">
        <v>21450689.484226823</v>
      </c>
      <c r="G17" s="26">
        <v>7114724.5725515569</v>
      </c>
      <c r="H17" s="22">
        <f t="shared" si="0"/>
        <v>2.9900005558903562</v>
      </c>
    </row>
    <row r="18" spans="1:8" x14ac:dyDescent="0.25">
      <c r="A18" s="26">
        <v>11968175.026483396</v>
      </c>
      <c r="B18" s="26">
        <v>9235585.3615899682</v>
      </c>
      <c r="C18" s="26">
        <v>22614475.724816941</v>
      </c>
      <c r="D18" s="26">
        <v>9285680.4242082257</v>
      </c>
      <c r="E18" s="26">
        <v>189400.46542780547</v>
      </c>
      <c r="F18" s="26">
        <v>12386733.990936104</v>
      </c>
      <c r="G18" s="26">
        <v>9484896.5233755149</v>
      </c>
      <c r="H18" s="22">
        <f t="shared" si="0"/>
        <v>2.9899988975578116</v>
      </c>
    </row>
    <row r="19" spans="1:8" x14ac:dyDescent="0.25">
      <c r="A19" s="26">
        <v>5186878.0044103181</v>
      </c>
      <c r="B19" s="26">
        <v>8800607.107941797</v>
      </c>
      <c r="C19" s="26">
        <v>19064487.189749282</v>
      </c>
      <c r="D19" s="26">
        <v>8717494.0837123729</v>
      </c>
      <c r="E19" s="26">
        <v>123285.49664670925</v>
      </c>
      <c r="F19" s="26">
        <v>14011849.896803174</v>
      </c>
      <c r="G19" s="26">
        <v>9598932.2527628038</v>
      </c>
      <c r="H19" s="22">
        <f t="shared" si="0"/>
        <v>2.9899996177934298</v>
      </c>
    </row>
    <row r="20" spans="1:8" x14ac:dyDescent="0.25">
      <c r="A20" s="26">
        <v>2069249.9748224923</v>
      </c>
      <c r="B20" s="26">
        <v>6751558.351463845</v>
      </c>
      <c r="C20" s="26">
        <v>14502126.348046189</v>
      </c>
      <c r="D20" s="26">
        <v>7160713.2259707153</v>
      </c>
      <c r="E20" s="26">
        <v>326646.48618904484</v>
      </c>
      <c r="F20" s="26">
        <v>18689871.970738366</v>
      </c>
      <c r="G20" s="26">
        <v>7651289.423055809</v>
      </c>
      <c r="H20" s="22">
        <f t="shared" si="0"/>
        <v>2.9899993203386743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58A-AC14-4873-BBB7-CD62E7614EA8}">
  <sheetPr codeName="Feuil17"/>
  <dimension ref="A1:G32"/>
  <sheetViews>
    <sheetView showGridLines="0" workbookViewId="0"/>
  </sheetViews>
  <sheetFormatPr baseColWidth="10" defaultRowHeight="15" outlineLevelRow="1" x14ac:dyDescent="0.25"/>
  <cols>
    <col min="1" max="1" width="2.28515625" customWidth="1"/>
    <col min="2" max="2" width="7.28515625" bestFit="1" customWidth="1"/>
    <col min="3" max="3" width="23.28515625" bestFit="1" customWidth="1"/>
    <col min="4" max="4" width="18.140625" bestFit="1" customWidth="1"/>
    <col min="5" max="5" width="12.42578125" bestFit="1" customWidth="1"/>
    <col min="6" max="6" width="6.28515625" bestFit="1" customWidth="1"/>
    <col min="7" max="7" width="6.7109375" bestFit="1" customWidth="1"/>
  </cols>
  <sheetData>
    <row r="1" spans="1:5" x14ac:dyDescent="0.25">
      <c r="A1" s="5" t="s">
        <v>26</v>
      </c>
    </row>
    <row r="2" spans="1:5" x14ac:dyDescent="0.25">
      <c r="A2" s="5" t="s">
        <v>27</v>
      </c>
    </row>
    <row r="3" spans="1:5" x14ac:dyDescent="0.25">
      <c r="A3" s="5" t="s">
        <v>28</v>
      </c>
    </row>
    <row r="4" spans="1:5" x14ac:dyDescent="0.25">
      <c r="A4" s="5" t="s">
        <v>29</v>
      </c>
    </row>
    <row r="5" spans="1:5" x14ac:dyDescent="0.25">
      <c r="A5" s="5" t="s">
        <v>30</v>
      </c>
    </row>
    <row r="6" spans="1:5" hidden="1" outlineLevel="1" x14ac:dyDescent="0.25">
      <c r="A6" s="5"/>
      <c r="B6" t="s">
        <v>31</v>
      </c>
    </row>
    <row r="7" spans="1:5" hidden="1" outlineLevel="1" x14ac:dyDescent="0.25">
      <c r="A7" s="5"/>
      <c r="B7" t="s">
        <v>32</v>
      </c>
    </row>
    <row r="8" spans="1:5" hidden="1" outlineLevel="1" x14ac:dyDescent="0.25">
      <c r="A8" s="5"/>
      <c r="B8" t="s">
        <v>33</v>
      </c>
    </row>
    <row r="9" spans="1:5" collapsed="1" x14ac:dyDescent="0.25">
      <c r="A9" s="5" t="s">
        <v>34</v>
      </c>
    </row>
    <row r="10" spans="1:5" hidden="1" outlineLevel="1" x14ac:dyDescent="0.25">
      <c r="B10" t="s">
        <v>35</v>
      </c>
    </row>
    <row r="11" spans="1:5" hidden="1" outlineLevel="1" x14ac:dyDescent="0.25">
      <c r="B11" t="s">
        <v>36</v>
      </c>
    </row>
    <row r="12" spans="1:5" hidden="1" outlineLevel="1" x14ac:dyDescent="0.25">
      <c r="B12" t="s">
        <v>37</v>
      </c>
    </row>
    <row r="13" spans="1:5" collapsed="1" x14ac:dyDescent="0.25"/>
    <row r="14" spans="1:5" ht="15.75" thickBot="1" x14ac:dyDescent="0.3">
      <c r="A14" t="s">
        <v>38</v>
      </c>
    </row>
    <row r="15" spans="1:5" ht="15.75" thickBot="1" x14ac:dyDescent="0.3">
      <c r="B15" s="7" t="s">
        <v>39</v>
      </c>
      <c r="C15" s="7" t="s">
        <v>40</v>
      </c>
      <c r="D15" s="7" t="s">
        <v>41</v>
      </c>
      <c r="E15" s="7" t="s">
        <v>42</v>
      </c>
    </row>
    <row r="16" spans="1:5" ht="15.75" thickBot="1" x14ac:dyDescent="0.3">
      <c r="B16" s="6" t="s">
        <v>50</v>
      </c>
      <c r="C16" s="6" t="s">
        <v>51</v>
      </c>
      <c r="D16" s="10">
        <v>2.022815501124966</v>
      </c>
      <c r="E16" s="10">
        <v>2.9899987887845496</v>
      </c>
    </row>
    <row r="19" spans="1:7" ht="15.75" thickBot="1" x14ac:dyDescent="0.3">
      <c r="A19" t="s">
        <v>43</v>
      </c>
    </row>
    <row r="20" spans="1:7" ht="15.75" thickBot="1" x14ac:dyDescent="0.3">
      <c r="B20" s="7" t="s">
        <v>39</v>
      </c>
      <c r="C20" s="7" t="s">
        <v>40</v>
      </c>
      <c r="D20" s="7" t="s">
        <v>41</v>
      </c>
      <c r="E20" s="7" t="s">
        <v>42</v>
      </c>
      <c r="F20" s="7" t="s">
        <v>44</v>
      </c>
    </row>
    <row r="21" spans="1:7" x14ac:dyDescent="0.25">
      <c r="B21" s="9" t="s">
        <v>52</v>
      </c>
      <c r="C21" s="9" t="s">
        <v>0</v>
      </c>
      <c r="D21" s="11">
        <v>25099</v>
      </c>
      <c r="E21" s="11">
        <v>25105.70980026908</v>
      </c>
      <c r="F21" s="9" t="s">
        <v>53</v>
      </c>
    </row>
    <row r="22" spans="1:7" x14ac:dyDescent="0.25">
      <c r="B22" s="9" t="s">
        <v>54</v>
      </c>
      <c r="C22" s="9" t="s">
        <v>1</v>
      </c>
      <c r="D22" s="11">
        <v>4788760</v>
      </c>
      <c r="E22" s="11">
        <v>5073723.8107619165</v>
      </c>
      <c r="F22" s="9" t="s">
        <v>53</v>
      </c>
    </row>
    <row r="23" spans="1:7" x14ac:dyDescent="0.25">
      <c r="B23" s="9" t="s">
        <v>55</v>
      </c>
      <c r="C23" s="9" t="s">
        <v>2</v>
      </c>
      <c r="D23" s="11">
        <v>13566555</v>
      </c>
      <c r="E23" s="11">
        <v>10082454.294388782</v>
      </c>
      <c r="F23" s="9" t="s">
        <v>53</v>
      </c>
    </row>
    <row r="24" spans="1:7" x14ac:dyDescent="0.25">
      <c r="B24" s="9" t="s">
        <v>56</v>
      </c>
      <c r="C24" s="9" t="s">
        <v>3</v>
      </c>
      <c r="D24" s="11">
        <v>4688760</v>
      </c>
      <c r="E24" s="11">
        <v>5332700.0940062562</v>
      </c>
      <c r="F24" s="9" t="s">
        <v>53</v>
      </c>
    </row>
    <row r="25" spans="1:7" x14ac:dyDescent="0.25">
      <c r="B25" s="9" t="s">
        <v>57</v>
      </c>
      <c r="C25" s="9" t="s">
        <v>4</v>
      </c>
      <c r="D25" s="11">
        <v>304782</v>
      </c>
      <c r="E25" s="11">
        <v>305260.52592813462</v>
      </c>
      <c r="F25" s="9" t="s">
        <v>53</v>
      </c>
    </row>
    <row r="26" spans="1:7" x14ac:dyDescent="0.25">
      <c r="B26" s="9" t="s">
        <v>58</v>
      </c>
      <c r="C26" s="9" t="s">
        <v>5</v>
      </c>
      <c r="D26" s="11">
        <v>13541456</v>
      </c>
      <c r="E26" s="11">
        <v>13520186.915083932</v>
      </c>
      <c r="F26" s="9" t="s">
        <v>53</v>
      </c>
    </row>
    <row r="27" spans="1:7" ht="15.75" thickBot="1" x14ac:dyDescent="0.3">
      <c r="B27" s="6" t="s">
        <v>59</v>
      </c>
      <c r="C27" s="6" t="s">
        <v>6</v>
      </c>
      <c r="D27" s="10">
        <v>5057196</v>
      </c>
      <c r="E27" s="10">
        <v>5283973.8320245938</v>
      </c>
      <c r="F27" s="6" t="s">
        <v>53</v>
      </c>
    </row>
    <row r="30" spans="1:7" ht="15.75" thickBot="1" x14ac:dyDescent="0.3">
      <c r="A30" t="s">
        <v>45</v>
      </c>
    </row>
    <row r="31" spans="1:7" ht="15.75" thickBot="1" x14ac:dyDescent="0.3">
      <c r="B31" s="7" t="s">
        <v>39</v>
      </c>
      <c r="C31" s="7" t="s">
        <v>40</v>
      </c>
      <c r="D31" s="7" t="s">
        <v>46</v>
      </c>
      <c r="E31" s="7" t="s">
        <v>47</v>
      </c>
      <c r="F31" s="7" t="s">
        <v>48</v>
      </c>
      <c r="G31" s="7" t="s">
        <v>49</v>
      </c>
    </row>
    <row r="32" spans="1:7" ht="15.75" thickBot="1" x14ac:dyDescent="0.3">
      <c r="B32" s="6" t="s">
        <v>50</v>
      </c>
      <c r="C32" s="6" t="s">
        <v>51</v>
      </c>
      <c r="D32" s="10">
        <v>2.9899987887845496</v>
      </c>
      <c r="E32" s="6" t="s">
        <v>50</v>
      </c>
      <c r="F32" s="6" t="s">
        <v>60</v>
      </c>
      <c r="G32" s="6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6343D-494F-46D2-8FB2-72201DDC4EF0}">
  <sheetPr codeName="Feuil18"/>
  <dimension ref="A1:G34"/>
  <sheetViews>
    <sheetView showGridLines="0" tabSelected="1" workbookViewId="0"/>
  </sheetViews>
  <sheetFormatPr baseColWidth="10" defaultRowHeight="15" outlineLevelRow="1" x14ac:dyDescent="0.25"/>
  <cols>
    <col min="1" max="1" width="2.28515625" customWidth="1"/>
    <col min="2" max="2" width="7.28515625" bestFit="1" customWidth="1"/>
    <col min="3" max="3" width="23.28515625" bestFit="1" customWidth="1"/>
    <col min="4" max="4" width="18.140625" bestFit="1" customWidth="1"/>
    <col min="5" max="5" width="12.42578125" bestFit="1" customWidth="1"/>
    <col min="6" max="6" width="6.28515625" bestFit="1" customWidth="1"/>
    <col min="7" max="7" width="6.7109375" bestFit="1" customWidth="1"/>
  </cols>
  <sheetData>
    <row r="1" spans="1:5" x14ac:dyDescent="0.25">
      <c r="A1" s="5" t="s">
        <v>26</v>
      </c>
    </row>
    <row r="2" spans="1:5" x14ac:dyDescent="0.25">
      <c r="A2" s="5" t="s">
        <v>27</v>
      </c>
    </row>
    <row r="3" spans="1:5" x14ac:dyDescent="0.25">
      <c r="A3" s="5" t="s">
        <v>62</v>
      </c>
    </row>
    <row r="4" spans="1:5" x14ac:dyDescent="0.25">
      <c r="A4" s="5" t="s">
        <v>29</v>
      </c>
    </row>
    <row r="5" spans="1:5" x14ac:dyDescent="0.25">
      <c r="A5" s="5" t="s">
        <v>30</v>
      </c>
    </row>
    <row r="6" spans="1:5" hidden="1" outlineLevel="1" x14ac:dyDescent="0.25">
      <c r="A6" s="5"/>
      <c r="B6" t="s">
        <v>31</v>
      </c>
    </row>
    <row r="7" spans="1:5" hidden="1" outlineLevel="1" x14ac:dyDescent="0.25">
      <c r="A7" s="5"/>
      <c r="B7" t="s">
        <v>63</v>
      </c>
    </row>
    <row r="8" spans="1:5" hidden="1" outlineLevel="1" x14ac:dyDescent="0.25">
      <c r="A8" s="5"/>
      <c r="B8" t="s">
        <v>64</v>
      </c>
    </row>
    <row r="9" spans="1:5" collapsed="1" x14ac:dyDescent="0.25">
      <c r="A9" s="5" t="s">
        <v>34</v>
      </c>
    </row>
    <row r="10" spans="1:5" hidden="1" outlineLevel="1" x14ac:dyDescent="0.25">
      <c r="B10" t="s">
        <v>35</v>
      </c>
    </row>
    <row r="11" spans="1:5" hidden="1" outlineLevel="1" x14ac:dyDescent="0.25">
      <c r="B11" t="s">
        <v>36</v>
      </c>
    </row>
    <row r="12" spans="1:5" hidden="1" outlineLevel="1" x14ac:dyDescent="0.25">
      <c r="B12" t="s">
        <v>37</v>
      </c>
    </row>
    <row r="13" spans="1:5" collapsed="1" x14ac:dyDescent="0.25"/>
    <row r="14" spans="1:5" ht="15.75" thickBot="1" x14ac:dyDescent="0.3">
      <c r="A14" t="s">
        <v>38</v>
      </c>
    </row>
    <row r="15" spans="1:5" ht="15.75" thickBot="1" x14ac:dyDescent="0.3">
      <c r="B15" s="7" t="s">
        <v>39</v>
      </c>
      <c r="C15" s="7" t="s">
        <v>40</v>
      </c>
      <c r="D15" s="7" t="s">
        <v>41</v>
      </c>
      <c r="E15" s="7" t="s">
        <v>42</v>
      </c>
    </row>
    <row r="16" spans="1:5" ht="15.75" thickBot="1" x14ac:dyDescent="0.3">
      <c r="B16" s="6" t="s">
        <v>50</v>
      </c>
      <c r="C16" s="6" t="s">
        <v>51</v>
      </c>
      <c r="D16" s="10">
        <v>2.4969501235423688</v>
      </c>
      <c r="E16" s="10">
        <v>2.9899983820884453</v>
      </c>
    </row>
    <row r="19" spans="1:6" ht="15.75" thickBot="1" x14ac:dyDescent="0.3">
      <c r="A19" t="s">
        <v>43</v>
      </c>
    </row>
    <row r="20" spans="1:6" ht="15.75" thickBot="1" x14ac:dyDescent="0.3">
      <c r="B20" s="7" t="s">
        <v>39</v>
      </c>
      <c r="C20" s="7" t="s">
        <v>40</v>
      </c>
      <c r="D20" s="7" t="s">
        <v>41</v>
      </c>
      <c r="E20" s="7" t="s">
        <v>42</v>
      </c>
      <c r="F20" s="7" t="s">
        <v>44</v>
      </c>
    </row>
    <row r="21" spans="1:6" x14ac:dyDescent="0.25">
      <c r="B21" s="14" t="s">
        <v>72</v>
      </c>
      <c r="C21" s="12"/>
      <c r="D21" s="12"/>
      <c r="E21" s="12"/>
      <c r="F21" s="12"/>
    </row>
    <row r="22" spans="1:6" hidden="1" outlineLevel="1" x14ac:dyDescent="0.25">
      <c r="B22" s="9" t="s">
        <v>65</v>
      </c>
      <c r="C22" s="9" t="s">
        <v>0</v>
      </c>
      <c r="D22" s="11">
        <v>14124528</v>
      </c>
      <c r="E22" s="11">
        <v>14658630.900293041</v>
      </c>
      <c r="F22" s="9" t="s">
        <v>53</v>
      </c>
    </row>
    <row r="23" spans="1:6" hidden="1" outlineLevel="1" x14ac:dyDescent="0.25">
      <c r="B23" s="9" t="s">
        <v>66</v>
      </c>
      <c r="C23" s="9" t="s">
        <v>1</v>
      </c>
      <c r="D23" s="11">
        <v>7460138</v>
      </c>
      <c r="E23" s="11">
        <v>7633965.1209721956</v>
      </c>
      <c r="F23" s="9" t="s">
        <v>53</v>
      </c>
    </row>
    <row r="24" spans="1:6" hidden="1" outlineLevel="1" x14ac:dyDescent="0.25">
      <c r="B24" s="9" t="s">
        <v>67</v>
      </c>
      <c r="C24" s="9" t="s">
        <v>2</v>
      </c>
      <c r="D24" s="11">
        <v>24258979</v>
      </c>
      <c r="E24" s="11">
        <v>21016310.311271634</v>
      </c>
      <c r="F24" s="9" t="s">
        <v>53</v>
      </c>
    </row>
    <row r="25" spans="1:6" hidden="1" outlineLevel="1" x14ac:dyDescent="0.25">
      <c r="B25" s="9" t="s">
        <v>68</v>
      </c>
      <c r="C25" s="9" t="s">
        <v>3</v>
      </c>
      <c r="D25" s="11">
        <v>7360138</v>
      </c>
      <c r="E25" s="11">
        <v>7758962.322023618</v>
      </c>
      <c r="F25" s="9" t="s">
        <v>53</v>
      </c>
    </row>
    <row r="26" spans="1:6" hidden="1" outlineLevel="1" x14ac:dyDescent="0.25">
      <c r="B26" s="9" t="s">
        <v>69</v>
      </c>
      <c r="C26" s="9" t="s">
        <v>4</v>
      </c>
      <c r="D26" s="11">
        <v>458504</v>
      </c>
      <c r="E26" s="11">
        <v>459177.60544168047</v>
      </c>
      <c r="F26" s="9" t="s">
        <v>53</v>
      </c>
    </row>
    <row r="27" spans="1:6" hidden="1" outlineLevel="1" x14ac:dyDescent="0.25">
      <c r="B27" s="9" t="s">
        <v>70</v>
      </c>
      <c r="C27" s="9" t="s">
        <v>5</v>
      </c>
      <c r="D27" s="11">
        <v>10134451</v>
      </c>
      <c r="E27" s="11">
        <v>10119562.126857778</v>
      </c>
      <c r="F27" s="9" t="s">
        <v>53</v>
      </c>
    </row>
    <row r="28" spans="1:6" ht="15.75" hidden="1" outlineLevel="1" thickBot="1" x14ac:dyDescent="0.3">
      <c r="B28" s="6" t="s">
        <v>71</v>
      </c>
      <c r="C28" s="6" t="s">
        <v>6</v>
      </c>
      <c r="D28" s="10">
        <v>8241103</v>
      </c>
      <c r="E28" s="10">
        <v>8392470.2550888527</v>
      </c>
      <c r="F28" s="6" t="s">
        <v>53</v>
      </c>
    </row>
    <row r="29" spans="1:6" collapsed="1" x14ac:dyDescent="0.25">
      <c r="B29" s="8"/>
      <c r="C29" s="8"/>
      <c r="D29" s="13"/>
      <c r="E29" s="13"/>
      <c r="F29" s="8"/>
    </row>
    <row r="32" spans="1:6" ht="15.75" thickBot="1" x14ac:dyDescent="0.3">
      <c r="A32" t="s">
        <v>45</v>
      </c>
    </row>
    <row r="33" spans="2:7" ht="15.75" thickBot="1" x14ac:dyDescent="0.3">
      <c r="B33" s="7" t="s">
        <v>39</v>
      </c>
      <c r="C33" s="7" t="s">
        <v>40</v>
      </c>
      <c r="D33" s="7" t="s">
        <v>46</v>
      </c>
      <c r="E33" s="7" t="s">
        <v>47</v>
      </c>
      <c r="F33" s="7" t="s">
        <v>48</v>
      </c>
      <c r="G33" s="7" t="s">
        <v>49</v>
      </c>
    </row>
    <row r="34" spans="2:7" ht="15.75" thickBot="1" x14ac:dyDescent="0.3">
      <c r="B34" s="6" t="s">
        <v>50</v>
      </c>
      <c r="C34" s="6" t="s">
        <v>51</v>
      </c>
      <c r="D34" s="10">
        <v>2.9899983820884453</v>
      </c>
      <c r="E34" s="6" t="s">
        <v>50</v>
      </c>
      <c r="F34" s="6" t="s">
        <v>60</v>
      </c>
      <c r="G34" s="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H21"/>
  <sheetViews>
    <sheetView workbookViewId="0">
      <selection activeCell="J8" sqref="J8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10239761</v>
      </c>
      <c r="B2" s="1">
        <v>7216077</v>
      </c>
      <c r="C2" s="1">
        <v>22323551</v>
      </c>
      <c r="D2" s="1">
        <v>7116077</v>
      </c>
      <c r="E2" s="1">
        <v>181379</v>
      </c>
      <c r="F2" s="1">
        <v>12083790</v>
      </c>
      <c r="G2" s="1">
        <v>7815880</v>
      </c>
      <c r="H2">
        <f>Score_altman(A2,B2,C2,D2,E2,F2,G2)</f>
        <v>2.4137013045098472</v>
      </c>
    </row>
    <row r="3" spans="1:8" x14ac:dyDescent="0.25">
      <c r="A3" s="1">
        <v>-5188964</v>
      </c>
      <c r="B3" s="1">
        <v>6301456</v>
      </c>
      <c r="C3" s="1">
        <v>10585803</v>
      </c>
      <c r="D3" s="1">
        <v>6201456</v>
      </c>
      <c r="E3" s="1">
        <v>481592</v>
      </c>
      <c r="F3" s="1">
        <v>15774767</v>
      </c>
      <c r="G3" s="1">
        <v>6609908</v>
      </c>
      <c r="H3">
        <f t="shared" ref="H3:H21" si="0">Score_altman(A3,B3,C3,D3,E3,F3,G3)</f>
        <v>2.8205031348194871</v>
      </c>
    </row>
    <row r="4" spans="1:8" x14ac:dyDescent="0.25">
      <c r="A4" s="1">
        <v>7110072</v>
      </c>
      <c r="B4" s="1">
        <v>11769506</v>
      </c>
      <c r="C4" s="1">
        <v>21392423</v>
      </c>
      <c r="D4" s="1">
        <v>11669506</v>
      </c>
      <c r="E4" s="1">
        <v>432266</v>
      </c>
      <c r="F4" s="1">
        <v>14282351</v>
      </c>
      <c r="G4" s="1">
        <v>12373901</v>
      </c>
      <c r="H4">
        <f t="shared" si="0"/>
        <v>3.5652231974642525</v>
      </c>
    </row>
    <row r="5" spans="1:8" x14ac:dyDescent="0.25">
      <c r="A5" s="1">
        <v>-4705002</v>
      </c>
      <c r="B5" s="1">
        <v>49854</v>
      </c>
      <c r="C5" s="1">
        <v>12760474</v>
      </c>
      <c r="D5" s="1">
        <v>-50146</v>
      </c>
      <c r="E5" s="1">
        <v>264554</v>
      </c>
      <c r="F5" s="1">
        <v>17465476</v>
      </c>
      <c r="G5" s="1">
        <v>1009722</v>
      </c>
      <c r="H5">
        <f t="shared" si="0"/>
        <v>-0.36182077860307349</v>
      </c>
    </row>
    <row r="6" spans="1:8" x14ac:dyDescent="0.25">
      <c r="A6" s="1">
        <v>-8007787</v>
      </c>
      <c r="B6" s="1">
        <v>2257975</v>
      </c>
      <c r="C6" s="1">
        <v>13637467</v>
      </c>
      <c r="D6" s="1">
        <v>2157975</v>
      </c>
      <c r="E6" s="1">
        <v>225825</v>
      </c>
      <c r="F6" s="1">
        <v>21645254</v>
      </c>
      <c r="G6" s="1">
        <v>3042758</v>
      </c>
      <c r="H6">
        <f t="shared" si="0"/>
        <v>0.27851368457977776</v>
      </c>
    </row>
    <row r="7" spans="1:8" x14ac:dyDescent="0.25">
      <c r="A7" s="1">
        <v>8443487</v>
      </c>
      <c r="B7" s="1">
        <v>7677471</v>
      </c>
      <c r="C7" s="1">
        <v>18950949</v>
      </c>
      <c r="D7" s="1">
        <v>7577471</v>
      </c>
      <c r="E7" s="1">
        <v>138883</v>
      </c>
      <c r="F7" s="1">
        <v>10507462</v>
      </c>
      <c r="G7" s="1">
        <v>8442581</v>
      </c>
      <c r="H7">
        <f t="shared" si="0"/>
        <v>2.8743009417861618</v>
      </c>
    </row>
    <row r="8" spans="1:8" x14ac:dyDescent="0.25">
      <c r="A8" s="1">
        <v>1558033</v>
      </c>
      <c r="B8" s="1">
        <v>12929599</v>
      </c>
      <c r="C8" s="1">
        <v>17280722</v>
      </c>
      <c r="D8" s="1">
        <v>12829599</v>
      </c>
      <c r="E8" s="1">
        <v>148004</v>
      </c>
      <c r="F8" s="1">
        <v>15722689</v>
      </c>
      <c r="G8" s="1">
        <v>13402050</v>
      </c>
      <c r="H8">
        <f t="shared" si="0"/>
        <v>4.3861017546052752</v>
      </c>
    </row>
    <row r="9" spans="1:8" x14ac:dyDescent="0.25">
      <c r="A9" s="1">
        <v>-1699302</v>
      </c>
      <c r="B9" s="1">
        <v>7321042</v>
      </c>
      <c r="C9" s="1">
        <v>12865033</v>
      </c>
      <c r="D9" s="1">
        <v>7221042</v>
      </c>
      <c r="E9" s="1">
        <v>214458</v>
      </c>
      <c r="F9" s="1">
        <v>14564335</v>
      </c>
      <c r="G9" s="1">
        <v>7683253</v>
      </c>
      <c r="H9">
        <f t="shared" si="0"/>
        <v>3.0959086029659648</v>
      </c>
    </row>
    <row r="10" spans="1:8" x14ac:dyDescent="0.25">
      <c r="A10" s="1">
        <v>-5958196</v>
      </c>
      <c r="B10" s="1">
        <v>14219713</v>
      </c>
      <c r="C10" s="1">
        <v>16739427</v>
      </c>
      <c r="D10" s="1">
        <v>14119713</v>
      </c>
      <c r="E10" s="1">
        <v>388391</v>
      </c>
      <c r="F10" s="1">
        <v>22697623</v>
      </c>
      <c r="G10" s="1">
        <v>14444580</v>
      </c>
      <c r="H10">
        <f t="shared" si="0"/>
        <v>4.418001500985012</v>
      </c>
    </row>
    <row r="11" spans="1:8" x14ac:dyDescent="0.25">
      <c r="A11" s="1">
        <v>-10450267</v>
      </c>
      <c r="B11" s="1">
        <v>7723385</v>
      </c>
      <c r="C11" s="1">
        <v>14483512</v>
      </c>
      <c r="D11" s="1">
        <v>7623385</v>
      </c>
      <c r="E11" s="1">
        <v>363396</v>
      </c>
      <c r="F11" s="1">
        <v>24933779</v>
      </c>
      <c r="G11" s="1">
        <v>8287099</v>
      </c>
      <c r="H11">
        <f t="shared" si="0"/>
        <v>2.1980203757624532</v>
      </c>
    </row>
    <row r="12" spans="1:8" x14ac:dyDescent="0.25">
      <c r="A12" s="1">
        <v>3102730</v>
      </c>
      <c r="B12" s="1">
        <v>13433304</v>
      </c>
      <c r="C12" s="1">
        <v>25517865</v>
      </c>
      <c r="D12" s="1">
        <v>13333304</v>
      </c>
      <c r="E12" s="1">
        <v>249202</v>
      </c>
      <c r="F12" s="1">
        <v>22415135</v>
      </c>
      <c r="G12" s="1">
        <v>14094108</v>
      </c>
      <c r="H12">
        <f t="shared" si="0"/>
        <v>3.1656269028799993</v>
      </c>
    </row>
    <row r="13" spans="1:8" x14ac:dyDescent="0.25">
      <c r="A13" s="1">
        <v>-9515416</v>
      </c>
      <c r="B13" s="1">
        <v>13245123</v>
      </c>
      <c r="C13" s="1">
        <v>13415355</v>
      </c>
      <c r="D13" s="1">
        <v>13145123</v>
      </c>
      <c r="E13" s="1">
        <v>363508</v>
      </c>
      <c r="F13" s="1">
        <v>22930771</v>
      </c>
      <c r="G13" s="1">
        <v>13602386</v>
      </c>
      <c r="H13">
        <f t="shared" si="0"/>
        <v>4.7870490150188196</v>
      </c>
    </row>
    <row r="14" spans="1:8" x14ac:dyDescent="0.25">
      <c r="A14" s="1">
        <v>9684313</v>
      </c>
      <c r="B14" s="1">
        <v>4759231</v>
      </c>
      <c r="C14" s="1">
        <v>22248542</v>
      </c>
      <c r="D14" s="1">
        <v>4659231</v>
      </c>
      <c r="E14" s="1">
        <v>344243</v>
      </c>
      <c r="F14" s="1">
        <v>12564229</v>
      </c>
      <c r="G14" s="1">
        <v>5569819</v>
      </c>
      <c r="H14">
        <f t="shared" si="0"/>
        <v>1.779422605881855</v>
      </c>
    </row>
    <row r="15" spans="1:8" x14ac:dyDescent="0.25">
      <c r="A15" s="1">
        <v>9067748</v>
      </c>
      <c r="B15" s="1">
        <v>6505027</v>
      </c>
      <c r="C15" s="1">
        <v>22729020</v>
      </c>
      <c r="D15" s="1">
        <v>6405027</v>
      </c>
      <c r="E15" s="1">
        <v>201039</v>
      </c>
      <c r="F15" s="1">
        <v>13661272</v>
      </c>
      <c r="G15" s="1">
        <v>7461786</v>
      </c>
      <c r="H15">
        <f t="shared" si="0"/>
        <v>2.1461522138097835</v>
      </c>
    </row>
    <row r="16" spans="1:8" x14ac:dyDescent="0.25">
      <c r="A16" s="1">
        <v>-1118680</v>
      </c>
      <c r="B16" s="1">
        <v>13207491</v>
      </c>
      <c r="C16" s="1">
        <v>20511012</v>
      </c>
      <c r="D16" s="1">
        <v>13107491</v>
      </c>
      <c r="E16" s="1">
        <v>245968</v>
      </c>
      <c r="F16" s="1">
        <v>21629692</v>
      </c>
      <c r="G16" s="1">
        <v>14167518</v>
      </c>
      <c r="H16">
        <f t="shared" si="0"/>
        <v>3.6417554704447808</v>
      </c>
    </row>
    <row r="17" spans="1:8" x14ac:dyDescent="0.25">
      <c r="A17" s="1">
        <v>5206084</v>
      </c>
      <c r="B17" s="1">
        <v>2402015</v>
      </c>
      <c r="C17" s="1">
        <v>21742356</v>
      </c>
      <c r="D17" s="1">
        <v>2302015</v>
      </c>
      <c r="E17" s="1">
        <v>148290</v>
      </c>
      <c r="F17" s="1">
        <v>16536272</v>
      </c>
      <c r="G17" s="1">
        <v>2694615</v>
      </c>
      <c r="H17">
        <f t="shared" si="0"/>
        <v>0.92058455878652834</v>
      </c>
    </row>
    <row r="18" spans="1:8" x14ac:dyDescent="0.25">
      <c r="A18" s="1">
        <v>-795227</v>
      </c>
      <c r="B18" s="1">
        <v>10817831</v>
      </c>
      <c r="C18" s="1">
        <v>22192778</v>
      </c>
      <c r="D18" s="1">
        <v>10717831</v>
      </c>
      <c r="E18" s="1">
        <v>200485</v>
      </c>
      <c r="F18" s="1">
        <v>22988005</v>
      </c>
      <c r="G18" s="1">
        <v>11319869</v>
      </c>
      <c r="H18">
        <f t="shared" si="0"/>
        <v>2.7479305292058758</v>
      </c>
    </row>
    <row r="19" spans="1:8" x14ac:dyDescent="0.25">
      <c r="A19" s="1">
        <v>9567109</v>
      </c>
      <c r="B19" s="1">
        <v>2080415</v>
      </c>
      <c r="C19" s="1">
        <v>23002305</v>
      </c>
      <c r="D19" s="1">
        <v>1980415</v>
      </c>
      <c r="E19" s="1">
        <v>199289</v>
      </c>
      <c r="F19" s="1">
        <v>13435196</v>
      </c>
      <c r="G19" s="1">
        <v>2915591</v>
      </c>
      <c r="H19">
        <f t="shared" si="0"/>
        <v>1.0453682153318928</v>
      </c>
    </row>
    <row r="20" spans="1:8" x14ac:dyDescent="0.25">
      <c r="A20" s="1">
        <v>-448492</v>
      </c>
      <c r="B20" s="1">
        <v>12111962</v>
      </c>
      <c r="C20" s="1">
        <v>15153729</v>
      </c>
      <c r="D20" s="1">
        <v>12011962</v>
      </c>
      <c r="E20" s="1">
        <v>428139</v>
      </c>
      <c r="F20" s="1">
        <v>15602221</v>
      </c>
      <c r="G20" s="1">
        <v>12570944</v>
      </c>
      <c r="H20">
        <f t="shared" si="0"/>
        <v>4.5444856009559746</v>
      </c>
    </row>
    <row r="21" spans="1:8" x14ac:dyDescent="0.25">
      <c r="A21" s="1">
        <v>-467841</v>
      </c>
      <c r="B21" s="1">
        <v>6960226</v>
      </c>
      <c r="C21" s="1">
        <v>15805880</v>
      </c>
      <c r="D21" s="1">
        <v>6860226</v>
      </c>
      <c r="E21" s="1">
        <v>207048</v>
      </c>
      <c r="F21" s="1">
        <v>16273721</v>
      </c>
      <c r="G21" s="1">
        <v>7606049</v>
      </c>
      <c r="H21">
        <f t="shared" si="0"/>
        <v>2.5016483353282704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FD232-A970-4DD8-A34E-ADAC84ACC386}">
  <sheetPr codeName="Feuil16"/>
  <dimension ref="A1:H9"/>
  <sheetViews>
    <sheetView workbookViewId="0">
      <selection activeCell="E14" sqref="E14"/>
    </sheetView>
  </sheetViews>
  <sheetFormatPr baseColWidth="10" defaultRowHeight="15" x14ac:dyDescent="0.25"/>
  <sheetData>
    <row r="1" spans="1:8" ht="21" x14ac:dyDescent="0.35">
      <c r="C1" s="27" t="s">
        <v>80</v>
      </c>
    </row>
    <row r="2" spans="1:8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3" t="s">
        <v>18</v>
      </c>
    </row>
    <row r="3" spans="1:8" x14ac:dyDescent="0.25">
      <c r="A3" s="20">
        <v>10239761</v>
      </c>
      <c r="B3" s="20">
        <v>7216077</v>
      </c>
      <c r="C3" s="20">
        <v>22323551</v>
      </c>
      <c r="D3" s="20">
        <v>7116077</v>
      </c>
      <c r="E3" s="20">
        <v>181379</v>
      </c>
      <c r="F3" s="20">
        <v>12083790</v>
      </c>
      <c r="G3" s="20">
        <v>7815880</v>
      </c>
      <c r="H3" s="22">
        <v>2.4137013045098472</v>
      </c>
    </row>
    <row r="4" spans="1:8" x14ac:dyDescent="0.25">
      <c r="A4" s="20">
        <v>-5188964</v>
      </c>
      <c r="B4" s="20">
        <v>6301456</v>
      </c>
      <c r="C4" s="20">
        <v>10585803</v>
      </c>
      <c r="D4" s="20">
        <v>6201456</v>
      </c>
      <c r="E4" s="20">
        <v>481592</v>
      </c>
      <c r="F4" s="20">
        <v>15774767</v>
      </c>
      <c r="G4" s="20">
        <v>6609908</v>
      </c>
      <c r="H4" s="22">
        <v>2.8205031348194871</v>
      </c>
    </row>
    <row r="5" spans="1:8" x14ac:dyDescent="0.25">
      <c r="A5" s="20">
        <v>8443487</v>
      </c>
      <c r="B5" s="20">
        <v>7677471</v>
      </c>
      <c r="C5" s="20">
        <v>18950949</v>
      </c>
      <c r="D5" s="20">
        <v>7577471</v>
      </c>
      <c r="E5" s="20">
        <v>138883</v>
      </c>
      <c r="F5" s="20">
        <v>10507462</v>
      </c>
      <c r="G5" s="20">
        <v>8442581</v>
      </c>
      <c r="H5" s="22">
        <v>2.8743009417861618</v>
      </c>
    </row>
    <row r="6" spans="1:8" x14ac:dyDescent="0.25">
      <c r="A6" s="20">
        <v>-10450267</v>
      </c>
      <c r="B6" s="20">
        <v>7723385</v>
      </c>
      <c r="C6" s="20">
        <v>14483512</v>
      </c>
      <c r="D6" s="20">
        <v>7623385</v>
      </c>
      <c r="E6" s="20">
        <v>363396</v>
      </c>
      <c r="F6" s="20">
        <v>24933779</v>
      </c>
      <c r="G6" s="20">
        <v>8287099</v>
      </c>
      <c r="H6" s="22">
        <v>2.1980203757624532</v>
      </c>
    </row>
    <row r="7" spans="1:8" x14ac:dyDescent="0.25">
      <c r="A7" s="20">
        <v>9067748</v>
      </c>
      <c r="B7" s="20">
        <v>6505027</v>
      </c>
      <c r="C7" s="20">
        <v>22729020</v>
      </c>
      <c r="D7" s="20">
        <v>6405027</v>
      </c>
      <c r="E7" s="20">
        <v>201039</v>
      </c>
      <c r="F7" s="20">
        <v>13661272</v>
      </c>
      <c r="G7" s="20">
        <v>7461786</v>
      </c>
      <c r="H7" s="22">
        <v>2.1461522138097835</v>
      </c>
    </row>
    <row r="8" spans="1:8" x14ac:dyDescent="0.25">
      <c r="A8" s="20">
        <v>-795227</v>
      </c>
      <c r="B8" s="20">
        <v>10817831</v>
      </c>
      <c r="C8" s="20">
        <v>22192778</v>
      </c>
      <c r="D8" s="20">
        <v>10717831</v>
      </c>
      <c r="E8" s="20">
        <v>200485</v>
      </c>
      <c r="F8" s="20">
        <v>22988005</v>
      </c>
      <c r="G8" s="20">
        <v>11319869</v>
      </c>
      <c r="H8" s="22">
        <v>2.7479305292058758</v>
      </c>
    </row>
    <row r="9" spans="1:8" x14ac:dyDescent="0.25">
      <c r="A9" s="20">
        <v>-467841</v>
      </c>
      <c r="B9" s="20">
        <v>6960226</v>
      </c>
      <c r="C9" s="20">
        <v>15805880</v>
      </c>
      <c r="D9" s="20">
        <v>6860226</v>
      </c>
      <c r="E9" s="20">
        <v>207048</v>
      </c>
      <c r="F9" s="20">
        <v>16273721</v>
      </c>
      <c r="G9" s="20">
        <v>7606049</v>
      </c>
      <c r="H9" s="22">
        <v>2.5016483353282704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7A0D-3F61-46E5-B122-CBF6B75C3B23}">
  <sheetPr codeName="Feuil10"/>
  <dimension ref="A1:N15"/>
  <sheetViews>
    <sheetView workbookViewId="0">
      <selection activeCell="D12" sqref="D12"/>
    </sheetView>
  </sheetViews>
  <sheetFormatPr baseColWidth="10" defaultRowHeight="15" x14ac:dyDescent="0.25"/>
  <cols>
    <col min="3" max="3" width="16.5703125" customWidth="1"/>
    <col min="9" max="9" width="14.140625" customWidth="1"/>
    <col min="10" max="10" width="14.28515625" customWidth="1"/>
    <col min="11" max="11" width="14.42578125" customWidth="1"/>
    <col min="12" max="12" width="15.85546875" customWidth="1"/>
    <col min="13" max="13" width="14.5703125" customWidth="1"/>
  </cols>
  <sheetData>
    <row r="1" spans="1:14" ht="23.25" x14ac:dyDescent="0.35">
      <c r="C1" s="15" t="s">
        <v>81</v>
      </c>
    </row>
    <row r="2" spans="1:14" x14ac:dyDescent="0.25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17" t="s">
        <v>18</v>
      </c>
      <c r="I2" t="s">
        <v>22</v>
      </c>
      <c r="J2" t="s">
        <v>25</v>
      </c>
      <c r="K2" t="s">
        <v>61</v>
      </c>
      <c r="L2" t="s">
        <v>23</v>
      </c>
      <c r="M2" t="s">
        <v>24</v>
      </c>
      <c r="N2" s="22" t="s">
        <v>73</v>
      </c>
    </row>
    <row r="3" spans="1:14" x14ac:dyDescent="0.25">
      <c r="A3" s="21">
        <v>10590933.750646269</v>
      </c>
      <c r="B3" s="21">
        <v>7419542.2593768034</v>
      </c>
      <c r="C3" s="21">
        <v>18818239.102339383</v>
      </c>
      <c r="D3" s="21">
        <v>7582473.3538478008</v>
      </c>
      <c r="E3" s="21">
        <v>181477.40281267333</v>
      </c>
      <c r="F3" s="21">
        <v>12077232.722287832</v>
      </c>
      <c r="G3" s="21">
        <v>7986206.0907057477</v>
      </c>
      <c r="H3" s="18">
        <v>2.4137013045098472</v>
      </c>
      <c r="I3">
        <f>1.2*A3/C3</f>
        <v>0.67536183548627515</v>
      </c>
      <c r="J3">
        <f>1.4*B3/C3</f>
        <v>0.55198358925284474</v>
      </c>
      <c r="K3">
        <f>3.3*D3/C3</f>
        <v>1.329676062229814</v>
      </c>
      <c r="L3">
        <f>0.6*E3/F3</f>
        <v>9.0158436283719525E-3</v>
      </c>
      <c r="M3">
        <f>0.999*G3/C3</f>
        <v>0.42396208493403786</v>
      </c>
      <c r="N3" s="22">
        <f>SUM(I3:M3)</f>
        <v>2.9899994155313441</v>
      </c>
    </row>
    <row r="4" spans="1:14" x14ac:dyDescent="0.25">
      <c r="A4" s="21">
        <v>0</v>
      </c>
      <c r="B4" s="21">
        <v>6153846.5165428733</v>
      </c>
      <c r="C4" s="21">
        <v>11594597.022561435</v>
      </c>
      <c r="D4" s="21">
        <v>5864474.8019241188</v>
      </c>
      <c r="E4" s="21">
        <v>481344.04376862483</v>
      </c>
      <c r="F4" s="21">
        <v>15782888.903859138</v>
      </c>
      <c r="G4" s="21">
        <v>6494014.0599036999</v>
      </c>
      <c r="H4" s="18">
        <v>2.8205031348194871</v>
      </c>
      <c r="I4">
        <f t="shared" ref="I4:I9" si="0">1.2*A4/C4</f>
        <v>0</v>
      </c>
      <c r="J4">
        <f t="shared" ref="J4:J9" si="1">1.4*B4/C4</f>
        <v>0.74305170817025457</v>
      </c>
      <c r="K4">
        <f t="shared" ref="K4:K9" si="2">3.3*D4/C4</f>
        <v>1.6691194017948068</v>
      </c>
      <c r="L4">
        <f t="shared" ref="L4:L9" si="3">0.6*E4/F4</f>
        <v>1.8298704883524693E-2</v>
      </c>
      <c r="M4">
        <f t="shared" ref="M4:M9" si="4">0.999*G4/C4</f>
        <v>0.55952958375526163</v>
      </c>
      <c r="N4" s="22">
        <f t="shared" ref="N4:N9" si="5">SUM(I4:M4)</f>
        <v>2.9899993986038478</v>
      </c>
    </row>
    <row r="5" spans="1:14" x14ac:dyDescent="0.25">
      <c r="A5" s="21">
        <v>8490565.1198127549</v>
      </c>
      <c r="B5" s="21">
        <v>7722881.740143911</v>
      </c>
      <c r="C5" s="21">
        <v>18384465.173108805</v>
      </c>
      <c r="D5" s="21">
        <v>7681740.354004248</v>
      </c>
      <c r="E5" s="21">
        <v>138894.48620945864</v>
      </c>
      <c r="F5" s="21">
        <v>10506592.990366135</v>
      </c>
      <c r="G5" s="21">
        <v>8481765.1228829045</v>
      </c>
      <c r="H5" s="18">
        <v>2.8743009417861618</v>
      </c>
      <c r="I5">
        <f t="shared" si="0"/>
        <v>0.55420041039205292</v>
      </c>
      <c r="J5">
        <f t="shared" si="1"/>
        <v>0.58810709663811045</v>
      </c>
      <c r="K5">
        <f t="shared" si="2"/>
        <v>1.378867588995377</v>
      </c>
      <c r="L5">
        <f t="shared" si="3"/>
        <v>7.9318473459559658E-3</v>
      </c>
      <c r="M5">
        <f t="shared" si="4"/>
        <v>0.46089365548441424</v>
      </c>
      <c r="N5" s="22">
        <f t="shared" si="5"/>
        <v>2.9900005988559104</v>
      </c>
    </row>
    <row r="6" spans="1:14" x14ac:dyDescent="0.25">
      <c r="A6" s="21">
        <v>0</v>
      </c>
      <c r="B6" s="21">
        <v>7690651.3481127536</v>
      </c>
      <c r="C6" s="21">
        <v>14734714.982909512</v>
      </c>
      <c r="D6" s="21">
        <v>7548212.2089512954</v>
      </c>
      <c r="E6" s="21">
        <v>363377.95950793021</v>
      </c>
      <c r="F6" s="21">
        <v>24935016.814105347</v>
      </c>
      <c r="G6" s="21">
        <v>8260207.0934548574</v>
      </c>
      <c r="H6" s="18">
        <v>2.1980203757624532</v>
      </c>
      <c r="I6">
        <f t="shared" si="0"/>
        <v>0</v>
      </c>
      <c r="J6">
        <f t="shared" si="1"/>
        <v>0.73071735013851113</v>
      </c>
      <c r="K6">
        <f t="shared" si="2"/>
        <v>1.6905043849460828</v>
      </c>
      <c r="L6">
        <f t="shared" si="3"/>
        <v>8.7437990248887178E-3</v>
      </c>
      <c r="M6">
        <f t="shared" si="4"/>
        <v>0.56003437432842529</v>
      </c>
      <c r="N6" s="22">
        <f t="shared" si="5"/>
        <v>2.9899999084379081</v>
      </c>
    </row>
    <row r="7" spans="1:14" x14ac:dyDescent="0.25">
      <c r="A7" s="21">
        <v>9527177.9129528888</v>
      </c>
      <c r="B7" s="21">
        <v>6780872.1683197357</v>
      </c>
      <c r="C7" s="21">
        <v>17394505.899008978</v>
      </c>
      <c r="D7" s="21">
        <v>7035396.2362886155</v>
      </c>
      <c r="E7" s="21">
        <v>201222.52546701982</v>
      </c>
      <c r="F7" s="21">
        <v>13648798.897380376</v>
      </c>
      <c r="G7" s="21">
        <v>7720780.3034553416</v>
      </c>
      <c r="H7" s="18">
        <v>2.1461522138097835</v>
      </c>
      <c r="I7">
        <f t="shared" si="0"/>
        <v>0.65725428258326213</v>
      </c>
      <c r="J7">
        <f t="shared" si="1"/>
        <v>0.5457597410794226</v>
      </c>
      <c r="K7">
        <f t="shared" si="2"/>
        <v>1.3347207281740132</v>
      </c>
      <c r="L7">
        <f t="shared" si="3"/>
        <v>8.8457245350273533E-3</v>
      </c>
      <c r="M7">
        <f t="shared" si="4"/>
        <v>0.44341929388125506</v>
      </c>
      <c r="N7" s="22">
        <f t="shared" si="5"/>
        <v>2.9899997702529806</v>
      </c>
    </row>
    <row r="8" spans="1:14" x14ac:dyDescent="0.25">
      <c r="A8" s="21">
        <v>0</v>
      </c>
      <c r="B8" s="21">
        <v>10944741.342820678</v>
      </c>
      <c r="C8" s="21">
        <v>21129994.128980059</v>
      </c>
      <c r="D8" s="21">
        <v>11011471.767272772</v>
      </c>
      <c r="E8" s="21">
        <v>200503.0349114057</v>
      </c>
      <c r="F8" s="21">
        <v>22985937.08583273</v>
      </c>
      <c r="G8" s="21">
        <v>11419029.082936037</v>
      </c>
      <c r="H8" s="18">
        <v>2.7479305292058758</v>
      </c>
      <c r="I8">
        <f t="shared" si="0"/>
        <v>0</v>
      </c>
      <c r="J8">
        <f t="shared" si="1"/>
        <v>0.72516053655375856</v>
      </c>
      <c r="K8">
        <f t="shared" si="2"/>
        <v>1.7197286762215567</v>
      </c>
      <c r="L8">
        <f t="shared" si="3"/>
        <v>5.2337140094667212E-3</v>
      </c>
      <c r="M8">
        <f t="shared" si="4"/>
        <v>0.53987757801633351</v>
      </c>
      <c r="N8" s="22">
        <f t="shared" si="5"/>
        <v>2.9900005048011158</v>
      </c>
    </row>
    <row r="9" spans="1:14" x14ac:dyDescent="0.25">
      <c r="A9" s="21">
        <v>0</v>
      </c>
      <c r="B9" s="21">
        <v>7150598.7832678054</v>
      </c>
      <c r="C9" s="21">
        <v>14032070.006584102</v>
      </c>
      <c r="D9" s="21">
        <v>7296160.1686798846</v>
      </c>
      <c r="E9" s="21">
        <v>207118.12216203567</v>
      </c>
      <c r="F9" s="21">
        <v>16268209.494697023</v>
      </c>
      <c r="G9" s="21">
        <v>7768272.5440066289</v>
      </c>
      <c r="H9" s="18">
        <v>2.5016483353282704</v>
      </c>
      <c r="I9">
        <f t="shared" si="0"/>
        <v>0</v>
      </c>
      <c r="J9">
        <f t="shared" si="1"/>
        <v>0.71342562372320395</v>
      </c>
      <c r="K9">
        <f t="shared" si="2"/>
        <v>1.7158785942021453</v>
      </c>
      <c r="L9">
        <f t="shared" si="3"/>
        <v>7.6388783496874803E-3</v>
      </c>
      <c r="M9">
        <f t="shared" si="4"/>
        <v>0.55305484278664885</v>
      </c>
      <c r="N9" s="22">
        <f t="shared" si="5"/>
        <v>2.9899979390616855</v>
      </c>
    </row>
    <row r="10" spans="1:14" x14ac:dyDescent="0.25">
      <c r="A10" s="1"/>
      <c r="B10" s="1"/>
      <c r="C10" s="1"/>
      <c r="D10" s="1"/>
      <c r="E10" s="1"/>
      <c r="F10" s="1"/>
      <c r="G10" s="1"/>
    </row>
    <row r="11" spans="1:14" x14ac:dyDescent="0.25">
      <c r="A11" s="1"/>
      <c r="B11" s="1"/>
      <c r="C11" s="1"/>
      <c r="D11" s="1"/>
      <c r="E11" s="1"/>
      <c r="F11" s="1"/>
      <c r="G11" s="1"/>
    </row>
    <row r="12" spans="1:14" x14ac:dyDescent="0.25">
      <c r="A12" s="1"/>
      <c r="B12" s="1"/>
      <c r="C12" s="1"/>
      <c r="D12" s="1"/>
      <c r="E12" s="1"/>
      <c r="F12" s="1"/>
      <c r="G12" s="1"/>
    </row>
    <row r="13" spans="1:14" x14ac:dyDescent="0.25">
      <c r="A13" s="1"/>
      <c r="B13" s="1"/>
      <c r="C13" s="1"/>
      <c r="D13" s="1"/>
      <c r="E13" s="1"/>
      <c r="F13" s="1"/>
      <c r="G13" s="1"/>
    </row>
    <row r="14" spans="1:14" x14ac:dyDescent="0.25">
      <c r="A14" s="1"/>
      <c r="B14" s="1"/>
      <c r="C14" t="s">
        <v>19</v>
      </c>
      <c r="E14" s="1"/>
      <c r="F14" s="1"/>
      <c r="G14" s="1"/>
    </row>
    <row r="15" spans="1:14" x14ac:dyDescent="0.25">
      <c r="C15" t="s">
        <v>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H21"/>
  <sheetViews>
    <sheetView workbookViewId="0">
      <selection activeCell="I7" sqref="I7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-4071868</v>
      </c>
      <c r="B2" s="1">
        <v>8971976</v>
      </c>
      <c r="C2" s="1">
        <v>15701038</v>
      </c>
      <c r="D2" s="1">
        <v>8871976</v>
      </c>
      <c r="E2" s="1">
        <v>203124</v>
      </c>
      <c r="F2" s="1">
        <v>19772906</v>
      </c>
      <c r="G2" s="1">
        <v>9253255</v>
      </c>
      <c r="H2">
        <f>Score_altman(A2,B2,C2,D2,E2,F2,G2)</f>
        <v>2.9483925803838336</v>
      </c>
    </row>
    <row r="3" spans="1:8" x14ac:dyDescent="0.25">
      <c r="A3" s="1">
        <v>792206</v>
      </c>
      <c r="B3" s="1">
        <v>10563750</v>
      </c>
      <c r="C3" s="1">
        <v>22159962</v>
      </c>
      <c r="D3" s="1">
        <v>10463750</v>
      </c>
      <c r="E3" s="1">
        <v>208170</v>
      </c>
      <c r="F3" s="1">
        <v>21367756</v>
      </c>
      <c r="G3" s="1">
        <v>10921264</v>
      </c>
      <c r="H3">
        <f t="shared" ref="H3:H21" si="0">Score_altman(A3,B3,C3,D3,E3,F3,G3)</f>
        <v>2.7667081584741609</v>
      </c>
    </row>
    <row r="4" spans="1:8" x14ac:dyDescent="0.25">
      <c r="A4" s="1">
        <v>5640419</v>
      </c>
      <c r="B4" s="1">
        <v>5228828</v>
      </c>
      <c r="C4" s="1">
        <v>25743034</v>
      </c>
      <c r="D4" s="1">
        <v>5128828</v>
      </c>
      <c r="E4" s="1">
        <v>306697</v>
      </c>
      <c r="F4" s="1">
        <v>20102615</v>
      </c>
      <c r="G4" s="1">
        <v>6114153</v>
      </c>
      <c r="H4">
        <f t="shared" si="0"/>
        <v>1.4511764041326058</v>
      </c>
    </row>
    <row r="5" spans="1:8" x14ac:dyDescent="0.25">
      <c r="A5" s="1">
        <v>4210530</v>
      </c>
      <c r="B5" s="1">
        <v>8992874</v>
      </c>
      <c r="C5" s="1">
        <v>19122529</v>
      </c>
      <c r="D5" s="1">
        <v>8892874</v>
      </c>
      <c r="E5" s="1">
        <v>255600</v>
      </c>
      <c r="F5" s="1">
        <v>14911999</v>
      </c>
      <c r="G5" s="1">
        <v>9287741</v>
      </c>
      <c r="H5">
        <f t="shared" si="0"/>
        <v>2.9527612432662238</v>
      </c>
    </row>
    <row r="6" spans="1:8" x14ac:dyDescent="0.25">
      <c r="A6" s="1">
        <v>2887233</v>
      </c>
      <c r="B6" s="1">
        <v>13147117</v>
      </c>
      <c r="C6" s="1">
        <v>21448394</v>
      </c>
      <c r="D6" s="1">
        <v>13047117</v>
      </c>
      <c r="E6" s="1">
        <v>196255</v>
      </c>
      <c r="F6" s="1">
        <v>18561161</v>
      </c>
      <c r="G6" s="1">
        <v>13543145</v>
      </c>
      <c r="H6">
        <f t="shared" si="0"/>
        <v>3.6642277796275926</v>
      </c>
    </row>
    <row r="7" spans="1:8" x14ac:dyDescent="0.25">
      <c r="A7" s="1">
        <v>1685691</v>
      </c>
      <c r="B7" s="1">
        <v>12971148</v>
      </c>
      <c r="C7" s="1">
        <v>21322103</v>
      </c>
      <c r="D7" s="1">
        <v>12871148</v>
      </c>
      <c r="E7" s="1">
        <v>347600</v>
      </c>
      <c r="F7" s="1">
        <v>19636412</v>
      </c>
      <c r="G7" s="1">
        <v>13906952</v>
      </c>
      <c r="H7">
        <f t="shared" si="0"/>
        <v>3.6008047670124168</v>
      </c>
    </row>
    <row r="8" spans="1:8" x14ac:dyDescent="0.25">
      <c r="A8" s="1">
        <v>-3225736</v>
      </c>
      <c r="B8" s="1">
        <v>4960797</v>
      </c>
      <c r="C8" s="1">
        <v>19580822</v>
      </c>
      <c r="D8" s="1">
        <v>4860797</v>
      </c>
      <c r="E8" s="1">
        <v>365350</v>
      </c>
      <c r="F8" s="1">
        <v>22806558</v>
      </c>
      <c r="G8" s="1">
        <v>5597803</v>
      </c>
      <c r="H8">
        <f t="shared" si="0"/>
        <v>1.2714110296843359</v>
      </c>
    </row>
    <row r="9" spans="1:8" x14ac:dyDescent="0.25">
      <c r="A9" s="1">
        <v>3125064</v>
      </c>
      <c r="B9" s="1">
        <v>14107331</v>
      </c>
      <c r="C9" s="1">
        <v>20552628</v>
      </c>
      <c r="D9" s="1">
        <v>14007331</v>
      </c>
      <c r="E9" s="1">
        <v>296064</v>
      </c>
      <c r="F9" s="1">
        <v>17427564</v>
      </c>
      <c r="G9" s="1">
        <v>14593538</v>
      </c>
      <c r="H9">
        <f t="shared" si="0"/>
        <v>4.1120273768929883</v>
      </c>
    </row>
    <row r="10" spans="1:8" x14ac:dyDescent="0.25">
      <c r="A10" s="1">
        <v>4819843</v>
      </c>
      <c r="B10" s="1">
        <v>6813112</v>
      </c>
      <c r="C10" s="1">
        <v>23154062</v>
      </c>
      <c r="D10" s="1">
        <v>6713112</v>
      </c>
      <c r="E10" s="1">
        <v>266841</v>
      </c>
      <c r="F10" s="1">
        <v>18334219</v>
      </c>
      <c r="G10" s="1">
        <v>7410181</v>
      </c>
      <c r="H10">
        <f t="shared" si="0"/>
        <v>1.9469759974911802</v>
      </c>
    </row>
    <row r="11" spans="1:8" x14ac:dyDescent="0.25">
      <c r="A11" s="1">
        <v>1524804</v>
      </c>
      <c r="B11" s="1">
        <v>5173541</v>
      </c>
      <c r="C11" s="1">
        <v>17658795</v>
      </c>
      <c r="D11" s="1">
        <v>5073541</v>
      </c>
      <c r="E11" s="1">
        <v>449026</v>
      </c>
      <c r="F11" s="1">
        <v>16133991</v>
      </c>
      <c r="G11" s="1">
        <v>5878212</v>
      </c>
      <c r="H11">
        <f t="shared" si="0"/>
        <v>1.811143808876218</v>
      </c>
    </row>
    <row r="12" spans="1:8" x14ac:dyDescent="0.25">
      <c r="A12" s="1">
        <v>-1946723</v>
      </c>
      <c r="B12" s="1">
        <v>6728620</v>
      </c>
      <c r="C12" s="1">
        <v>15406364</v>
      </c>
      <c r="D12" s="1">
        <v>6628620</v>
      </c>
      <c r="E12" s="1">
        <v>228340</v>
      </c>
      <c r="F12" s="1">
        <v>17353087</v>
      </c>
      <c r="G12" s="1">
        <v>6896293</v>
      </c>
      <c r="H12">
        <f t="shared" si="0"/>
        <v>2.334715547893206</v>
      </c>
    </row>
    <row r="13" spans="1:8" x14ac:dyDescent="0.25">
      <c r="A13" s="1">
        <v>1153126</v>
      </c>
      <c r="B13" s="1">
        <v>3656309</v>
      </c>
      <c r="C13" s="1">
        <v>22435472</v>
      </c>
      <c r="D13" s="1">
        <v>3556309</v>
      </c>
      <c r="E13" s="1">
        <v>370975</v>
      </c>
      <c r="F13" s="1">
        <v>21282346</v>
      </c>
      <c r="G13" s="1">
        <v>4634339</v>
      </c>
      <c r="H13">
        <f t="shared" si="0"/>
        <v>1.0297422458274885</v>
      </c>
    </row>
    <row r="14" spans="1:8" x14ac:dyDescent="0.25">
      <c r="A14" s="1">
        <v>-2832271</v>
      </c>
      <c r="B14" s="1">
        <v>9000832</v>
      </c>
      <c r="C14" s="1">
        <v>11683026</v>
      </c>
      <c r="D14" s="1">
        <v>8900832</v>
      </c>
      <c r="E14" s="1">
        <v>107927</v>
      </c>
      <c r="F14" s="1">
        <v>14515297</v>
      </c>
      <c r="G14" s="1">
        <v>9464077</v>
      </c>
      <c r="H14">
        <f t="shared" si="0"/>
        <v>4.1155364104236849</v>
      </c>
    </row>
    <row r="15" spans="1:8" x14ac:dyDescent="0.25">
      <c r="A15" s="1">
        <v>2101397</v>
      </c>
      <c r="B15" s="1">
        <v>8502703</v>
      </c>
      <c r="C15" s="1">
        <v>20815120</v>
      </c>
      <c r="D15" s="1">
        <v>8402703</v>
      </c>
      <c r="E15" s="1">
        <v>309383</v>
      </c>
      <c r="F15" s="1">
        <v>18713723</v>
      </c>
      <c r="G15" s="1">
        <v>9212010</v>
      </c>
      <c r="H15">
        <f t="shared" si="0"/>
        <v>2.4772210286075791</v>
      </c>
    </row>
    <row r="16" spans="1:8" x14ac:dyDescent="0.25">
      <c r="A16" s="1">
        <v>-1287452</v>
      </c>
      <c r="B16" s="1">
        <v>10478281</v>
      </c>
      <c r="C16" s="1">
        <v>17824456</v>
      </c>
      <c r="D16" s="1">
        <v>10378281</v>
      </c>
      <c r="E16" s="1">
        <v>392505</v>
      </c>
      <c r="F16" s="1">
        <v>19111908</v>
      </c>
      <c r="G16" s="1">
        <v>10742805</v>
      </c>
      <c r="H16">
        <f t="shared" si="0"/>
        <v>3.2721716221007062</v>
      </c>
    </row>
    <row r="17" spans="1:8" x14ac:dyDescent="0.25">
      <c r="A17" s="1">
        <v>-12405719</v>
      </c>
      <c r="B17" s="1">
        <v>749472</v>
      </c>
      <c r="C17" s="1">
        <v>11625342</v>
      </c>
      <c r="D17" s="1">
        <v>649472</v>
      </c>
      <c r="E17" s="1">
        <v>485882</v>
      </c>
      <c r="F17" s="1">
        <v>24031061</v>
      </c>
      <c r="G17" s="1">
        <v>1704025</v>
      </c>
      <c r="H17">
        <f t="shared" si="0"/>
        <v>-0.84737226072129035</v>
      </c>
    </row>
    <row r="18" spans="1:8" x14ac:dyDescent="0.25">
      <c r="A18" s="1">
        <v>-13437609</v>
      </c>
      <c r="B18" s="1">
        <v>13282127</v>
      </c>
      <c r="C18" s="1">
        <v>11413864</v>
      </c>
      <c r="D18" s="1">
        <v>13182127</v>
      </c>
      <c r="E18" s="1">
        <v>451232</v>
      </c>
      <c r="F18" s="1">
        <v>24851473</v>
      </c>
      <c r="G18" s="1">
        <v>14021717</v>
      </c>
      <c r="H18">
        <f t="shared" si="0"/>
        <v>5.2657809269204519</v>
      </c>
    </row>
    <row r="19" spans="1:8" x14ac:dyDescent="0.25">
      <c r="A19" s="1">
        <v>7032191</v>
      </c>
      <c r="B19" s="1">
        <v>10833928</v>
      </c>
      <c r="C19" s="1">
        <v>20761346</v>
      </c>
      <c r="D19" s="1">
        <v>10733928</v>
      </c>
      <c r="E19" s="1">
        <v>108050</v>
      </c>
      <c r="F19" s="1">
        <v>13729155</v>
      </c>
      <c r="G19" s="1">
        <v>11770412</v>
      </c>
      <c r="H19">
        <f t="shared" si="0"/>
        <v>3.4142665350455639</v>
      </c>
    </row>
    <row r="20" spans="1:8" x14ac:dyDescent="0.25">
      <c r="A20" s="1">
        <v>4585375</v>
      </c>
      <c r="B20" s="1">
        <v>3051865</v>
      </c>
      <c r="C20" s="1">
        <v>16049610</v>
      </c>
      <c r="D20" s="1">
        <v>2951865</v>
      </c>
      <c r="E20" s="1">
        <v>461580</v>
      </c>
      <c r="F20" s="1">
        <v>11464235</v>
      </c>
      <c r="G20" s="1">
        <v>3695361</v>
      </c>
      <c r="H20">
        <f t="shared" si="0"/>
        <v>1.4701666042188455</v>
      </c>
    </row>
    <row r="21" spans="1:8" x14ac:dyDescent="0.25">
      <c r="A21" s="1">
        <v>-5673288</v>
      </c>
      <c r="B21" s="1">
        <v>9253962</v>
      </c>
      <c r="C21" s="1">
        <v>13532916</v>
      </c>
      <c r="D21" s="1">
        <v>9153962</v>
      </c>
      <c r="E21" s="1">
        <v>250839</v>
      </c>
      <c r="F21" s="1">
        <v>19206204</v>
      </c>
      <c r="G21" s="1">
        <v>9488747</v>
      </c>
      <c r="H21">
        <f t="shared" si="0"/>
        <v>3.3947584178554155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5C443-3431-40C2-A49A-91D490F2B7CC}">
  <sheetPr codeName="Feuil11"/>
  <dimension ref="A1:N20"/>
  <sheetViews>
    <sheetView workbookViewId="0">
      <selection activeCell="K6" sqref="K6"/>
    </sheetView>
  </sheetViews>
  <sheetFormatPr baseColWidth="10" defaultRowHeight="15" x14ac:dyDescent="0.25"/>
  <cols>
    <col min="8" max="8" width="12.28515625" customWidth="1"/>
    <col min="9" max="9" width="14.28515625" customWidth="1"/>
    <col min="10" max="11" width="13.28515625" customWidth="1"/>
    <col min="12" max="13" width="14.7109375" customWidth="1"/>
    <col min="14" max="14" width="12.7109375" customWidth="1"/>
  </cols>
  <sheetData>
    <row r="1" spans="1:14" ht="23.25" x14ac:dyDescent="0.35">
      <c r="C1" s="15" t="s">
        <v>77</v>
      </c>
    </row>
    <row r="2" spans="1:14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0" t="s">
        <v>6</v>
      </c>
      <c r="H2" s="23" t="s">
        <v>18</v>
      </c>
    </row>
    <row r="3" spans="1:14" x14ac:dyDescent="0.25">
      <c r="A3" s="20">
        <v>-4071868</v>
      </c>
      <c r="B3" s="20">
        <v>8971976</v>
      </c>
      <c r="C3" s="20">
        <v>15701038</v>
      </c>
      <c r="D3" s="20">
        <v>8871976</v>
      </c>
      <c r="E3" s="20">
        <v>203124</v>
      </c>
      <c r="F3" s="20">
        <v>19772906</v>
      </c>
      <c r="G3" s="20">
        <v>9253255</v>
      </c>
      <c r="H3" s="22">
        <v>2.9483925803838336</v>
      </c>
    </row>
    <row r="4" spans="1:14" x14ac:dyDescent="0.25">
      <c r="A4" s="20">
        <v>792206</v>
      </c>
      <c r="B4" s="20">
        <v>10563750</v>
      </c>
      <c r="C4" s="20">
        <v>22159962</v>
      </c>
      <c r="D4" s="20">
        <v>10463750</v>
      </c>
      <c r="E4" s="20">
        <v>208170</v>
      </c>
      <c r="F4" s="20">
        <v>21367756</v>
      </c>
      <c r="G4" s="20">
        <v>10921264</v>
      </c>
      <c r="H4" s="22">
        <v>2.7667081584741609</v>
      </c>
    </row>
    <row r="5" spans="1:14" x14ac:dyDescent="0.25">
      <c r="A5" s="20">
        <v>4210530</v>
      </c>
      <c r="B5" s="20">
        <v>8992874</v>
      </c>
      <c r="C5" s="20">
        <v>19122529</v>
      </c>
      <c r="D5" s="20">
        <v>8892874</v>
      </c>
      <c r="E5" s="20">
        <v>255600</v>
      </c>
      <c r="F5" s="20">
        <v>14911999</v>
      </c>
      <c r="G5" s="20">
        <v>9287741</v>
      </c>
      <c r="H5" s="22">
        <v>2.9527612432662238</v>
      </c>
    </row>
    <row r="6" spans="1:14" x14ac:dyDescent="0.25">
      <c r="A6" s="20">
        <v>4819843</v>
      </c>
      <c r="B6" s="20">
        <v>6813112</v>
      </c>
      <c r="C6" s="20">
        <v>23154062</v>
      </c>
      <c r="D6" s="20">
        <v>6713112</v>
      </c>
      <c r="E6" s="20">
        <v>266841</v>
      </c>
      <c r="F6" s="20">
        <v>18334219</v>
      </c>
      <c r="G6" s="20">
        <v>7410181</v>
      </c>
      <c r="H6" s="22">
        <v>1.9469759974911802</v>
      </c>
    </row>
    <row r="7" spans="1:14" x14ac:dyDescent="0.25">
      <c r="A7" s="20">
        <v>1524804</v>
      </c>
      <c r="B7" s="20">
        <v>5173541</v>
      </c>
      <c r="C7" s="20">
        <v>17658795</v>
      </c>
      <c r="D7" s="20">
        <v>5073541</v>
      </c>
      <c r="E7" s="20">
        <v>449026</v>
      </c>
      <c r="F7" s="20">
        <v>16133991</v>
      </c>
      <c r="G7" s="20">
        <v>5878212</v>
      </c>
      <c r="H7" s="22">
        <v>1.811143808876218</v>
      </c>
    </row>
    <row r="8" spans="1:14" x14ac:dyDescent="0.25">
      <c r="A8" s="20">
        <v>-1946723</v>
      </c>
      <c r="B8" s="20">
        <v>6728620</v>
      </c>
      <c r="C8" s="20">
        <v>15406364</v>
      </c>
      <c r="D8" s="20">
        <v>6628620</v>
      </c>
      <c r="E8" s="20">
        <v>228340</v>
      </c>
      <c r="F8" s="20">
        <v>17353087</v>
      </c>
      <c r="G8" s="20">
        <v>6896293</v>
      </c>
      <c r="H8" s="22">
        <v>2.334715547893206</v>
      </c>
    </row>
    <row r="9" spans="1:14" x14ac:dyDescent="0.25">
      <c r="A9" s="20">
        <v>2101397</v>
      </c>
      <c r="B9" s="20">
        <v>8502703</v>
      </c>
      <c r="C9" s="20">
        <v>20815120</v>
      </c>
      <c r="D9" s="20">
        <v>8402703</v>
      </c>
      <c r="E9" s="20">
        <v>309383</v>
      </c>
      <c r="F9" s="20">
        <v>18713723</v>
      </c>
      <c r="G9" s="20">
        <v>9212010</v>
      </c>
      <c r="H9" s="22">
        <v>2.4772210286075791</v>
      </c>
    </row>
    <row r="11" spans="1:14" ht="26.25" x14ac:dyDescent="0.25">
      <c r="A11" s="1"/>
      <c r="B11" s="1"/>
      <c r="C11" s="1"/>
      <c r="D11" s="24" t="s">
        <v>78</v>
      </c>
      <c r="E11" s="1"/>
      <c r="F11" s="1"/>
      <c r="G11" s="1"/>
    </row>
    <row r="12" spans="1:14" x14ac:dyDescent="0.25">
      <c r="A12" s="1"/>
      <c r="B12" s="1"/>
      <c r="C12" s="1"/>
      <c r="D12" s="1"/>
      <c r="E12" s="1"/>
      <c r="F12" s="1"/>
      <c r="G12" s="1"/>
    </row>
    <row r="13" spans="1:14" x14ac:dyDescent="0.25">
      <c r="A13" s="20" t="s">
        <v>0</v>
      </c>
      <c r="B13" s="20" t="s">
        <v>1</v>
      </c>
      <c r="C13" s="20" t="s">
        <v>2</v>
      </c>
      <c r="D13" s="20" t="s">
        <v>3</v>
      </c>
      <c r="E13" s="20" t="s">
        <v>4</v>
      </c>
      <c r="F13" s="20" t="s">
        <v>5</v>
      </c>
      <c r="G13" s="20" t="s">
        <v>6</v>
      </c>
      <c r="H13" s="23" t="s">
        <v>18</v>
      </c>
      <c r="I13" t="s">
        <v>22</v>
      </c>
      <c r="J13" t="s">
        <v>25</v>
      </c>
      <c r="K13" t="s">
        <v>61</v>
      </c>
      <c r="L13" t="s">
        <v>23</v>
      </c>
      <c r="M13" t="s">
        <v>24</v>
      </c>
      <c r="N13" s="22" t="s">
        <v>73</v>
      </c>
    </row>
    <row r="14" spans="1:14" x14ac:dyDescent="0.25">
      <c r="A14" s="20">
        <v>0</v>
      </c>
      <c r="B14" s="20">
        <v>8835429.1025286559</v>
      </c>
      <c r="C14" s="20">
        <v>16672834.736973323</v>
      </c>
      <c r="D14" s="20">
        <v>8557250.2886238191</v>
      </c>
      <c r="E14" s="20">
        <v>203100.18178663781</v>
      </c>
      <c r="F14" s="20">
        <v>19775224.555905558</v>
      </c>
      <c r="G14" s="20">
        <v>9149613.877057476</v>
      </c>
      <c r="H14" s="22">
        <v>2.9483925803838336</v>
      </c>
      <c r="I14">
        <f>1.2*A14/C14</f>
        <v>0</v>
      </c>
      <c r="J14">
        <f>1.4*B14/C14</f>
        <v>0.74190147858357613</v>
      </c>
      <c r="K14">
        <f>3.3*D14/C14</f>
        <v>1.6937087422714363</v>
      </c>
      <c r="L14">
        <f>0.6*E14/F14</f>
        <v>6.1622617092148809E-3</v>
      </c>
      <c r="M14">
        <f>0.999*G14/C14</f>
        <v>0.54822496638263429</v>
      </c>
      <c r="N14" s="22">
        <f>SUM(I14:M14)</f>
        <v>2.9899974489468617</v>
      </c>
    </row>
    <row r="15" spans="1:14" x14ac:dyDescent="0.25">
      <c r="A15" s="20">
        <v>792874.21266172279</v>
      </c>
      <c r="B15" s="20">
        <v>10702368.589115649</v>
      </c>
      <c r="C15" s="20">
        <v>20957035.205276314</v>
      </c>
      <c r="D15" s="20">
        <v>10784336.967647219</v>
      </c>
      <c r="E15" s="20">
        <v>208193.92516029187</v>
      </c>
      <c r="F15" s="20">
        <v>21365300.190243829</v>
      </c>
      <c r="G15" s="20">
        <v>11026986.759497967</v>
      </c>
      <c r="H15" s="22">
        <v>2.7667081584741609</v>
      </c>
      <c r="I15">
        <f t="shared" ref="I15:I20" si="0">1.2*A15/C15</f>
        <v>4.5399983627193732E-2</v>
      </c>
      <c r="J15">
        <f t="shared" ref="J15:J20" si="1">1.4*B15/C15</f>
        <v>0.71495399411218175</v>
      </c>
      <c r="K15">
        <f t="shared" ref="K15:K20" si="2">3.3*D15/C15</f>
        <v>1.6981558528983058</v>
      </c>
      <c r="L15">
        <f t="shared" ref="L15:L20" si="3">0.6*E15/F15</f>
        <v>5.8466931886693762E-3</v>
      </c>
      <c r="M15">
        <f t="shared" ref="M15:M20" si="4">0.999*G15/C15</f>
        <v>0.52564495239121423</v>
      </c>
      <c r="N15" s="22">
        <f t="shared" ref="N15:N20" si="5">SUM(I15:M15)</f>
        <v>2.9900014762175653</v>
      </c>
    </row>
    <row r="16" spans="1:14" x14ac:dyDescent="0.25">
      <c r="A16" s="20">
        <v>4214022.6011099759</v>
      </c>
      <c r="B16" s="20">
        <v>9011461.4260680396</v>
      </c>
      <c r="C16" s="20">
        <v>18945885.754600104</v>
      </c>
      <c r="D16" s="20">
        <v>8935718.2391220797</v>
      </c>
      <c r="E16" s="20">
        <v>255608.25233077718</v>
      </c>
      <c r="F16" s="20">
        <v>14911517.550463583</v>
      </c>
      <c r="G16" s="20">
        <v>9301888.5061622895</v>
      </c>
      <c r="H16" s="22">
        <v>2.9527612432662238</v>
      </c>
      <c r="I16">
        <f t="shared" si="0"/>
        <v>0.26690898418957065</v>
      </c>
      <c r="J16">
        <f t="shared" si="1"/>
        <v>0.6658989798580438</v>
      </c>
      <c r="K16">
        <f t="shared" si="2"/>
        <v>1.5564260531837706</v>
      </c>
      <c r="L16">
        <f t="shared" si="3"/>
        <v>1.0284999556849151E-2</v>
      </c>
      <c r="M16">
        <f t="shared" si="4"/>
        <v>0.49048045248556749</v>
      </c>
      <c r="N16" s="22">
        <f t="shared" si="5"/>
        <v>2.9899994692738017</v>
      </c>
    </row>
    <row r="17" spans="1:14" x14ac:dyDescent="0.25">
      <c r="A17" s="20">
        <v>4986812.9650436006</v>
      </c>
      <c r="B17" s="20">
        <v>7202345.6816759752</v>
      </c>
      <c r="C17" s="20">
        <v>16399580.073673623</v>
      </c>
      <c r="D17" s="20">
        <v>7603856.3040302293</v>
      </c>
      <c r="E17" s="20">
        <v>267147.67370919726</v>
      </c>
      <c r="F17" s="20">
        <v>18313139.772931438</v>
      </c>
      <c r="G17" s="20">
        <v>7738740.8209338738</v>
      </c>
      <c r="H17" s="22">
        <v>1.9469759974911802</v>
      </c>
      <c r="I17">
        <f t="shared" si="0"/>
        <v>0.36489809685180696</v>
      </c>
      <c r="J17">
        <f t="shared" si="1"/>
        <v>0.61485013085994444</v>
      </c>
      <c r="K17">
        <f t="shared" si="2"/>
        <v>1.5300834344887471</v>
      </c>
      <c r="L17">
        <f t="shared" si="3"/>
        <v>8.7526555365694397E-3</v>
      </c>
      <c r="M17">
        <f t="shared" si="4"/>
        <v>0.47141463655667498</v>
      </c>
      <c r="N17" s="22">
        <f t="shared" si="5"/>
        <v>2.9899989542937431</v>
      </c>
    </row>
    <row r="18" spans="1:14" x14ac:dyDescent="0.25">
      <c r="A18" s="20">
        <v>1550704.420528552</v>
      </c>
      <c r="B18" s="20">
        <v>5521398.47335348</v>
      </c>
      <c r="C18" s="20">
        <v>11814880.623604041</v>
      </c>
      <c r="D18" s="20">
        <v>5862099.2807743223</v>
      </c>
      <c r="E18" s="20">
        <v>450168.86268580938</v>
      </c>
      <c r="F18" s="20">
        <v>16092883.310184</v>
      </c>
      <c r="G18" s="20">
        <v>6198656.9998783451</v>
      </c>
      <c r="H18" s="22">
        <v>1.811143808876218</v>
      </c>
      <c r="I18">
        <f t="shared" si="0"/>
        <v>0.15750013596554016</v>
      </c>
      <c r="J18">
        <f t="shared" si="1"/>
        <v>0.65425611218210566</v>
      </c>
      <c r="K18">
        <f t="shared" si="2"/>
        <v>1.6373358515284127</v>
      </c>
      <c r="L18">
        <f t="shared" si="3"/>
        <v>1.6783898348443151E-2</v>
      </c>
      <c r="M18">
        <f t="shared" si="4"/>
        <v>0.5241236488252814</v>
      </c>
      <c r="N18" s="22">
        <f t="shared" si="5"/>
        <v>2.9899996468497827</v>
      </c>
    </row>
    <row r="19" spans="1:14" x14ac:dyDescent="0.25">
      <c r="A19" s="20">
        <v>0</v>
      </c>
      <c r="B19" s="20">
        <v>6936228.2910957187</v>
      </c>
      <c r="C19" s="20">
        <v>13479529.824013524</v>
      </c>
      <c r="D19" s="20">
        <v>7103544.7965702266</v>
      </c>
      <c r="E19" s="20">
        <v>228430.97107263011</v>
      </c>
      <c r="F19" s="20">
        <v>17346173.512280963</v>
      </c>
      <c r="G19" s="20">
        <v>7051911.6193141527</v>
      </c>
      <c r="H19" s="22">
        <v>2.334715547893206</v>
      </c>
      <c r="I19">
        <f t="shared" si="0"/>
        <v>0</v>
      </c>
      <c r="J19">
        <f t="shared" si="1"/>
        <v>0.72040492022463165</v>
      </c>
      <c r="K19">
        <f t="shared" si="2"/>
        <v>1.7390590127944083</v>
      </c>
      <c r="L19">
        <f t="shared" si="3"/>
        <v>7.90137274636055E-3</v>
      </c>
      <c r="M19">
        <f t="shared" si="4"/>
        <v>0.52263393454158591</v>
      </c>
      <c r="N19" s="22">
        <f t="shared" si="5"/>
        <v>2.9899992403069864</v>
      </c>
    </row>
    <row r="20" spans="1:14" x14ac:dyDescent="0.25">
      <c r="A20" s="20">
        <v>2114903.9588260008</v>
      </c>
      <c r="B20" s="20">
        <v>8760692.5734819677</v>
      </c>
      <c r="C20" s="20">
        <v>18090290.673956387</v>
      </c>
      <c r="D20" s="20">
        <v>8996601.289007945</v>
      </c>
      <c r="E20" s="20">
        <v>309545.82570080098</v>
      </c>
      <c r="F20" s="20">
        <v>18703874.142635033</v>
      </c>
      <c r="G20" s="20">
        <v>9428099.8622687701</v>
      </c>
      <c r="H20" s="22">
        <v>2.4772210286075791</v>
      </c>
      <c r="I20">
        <f t="shared" si="0"/>
        <v>0.14028988236462425</v>
      </c>
      <c r="J20">
        <f t="shared" si="1"/>
        <v>0.67798632006128945</v>
      </c>
      <c r="K20">
        <f t="shared" si="2"/>
        <v>1.6411446774853404</v>
      </c>
      <c r="L20">
        <f t="shared" si="3"/>
        <v>9.9298944167464862E-3</v>
      </c>
      <c r="M20">
        <f t="shared" si="4"/>
        <v>0.52064789516986887</v>
      </c>
      <c r="N20" s="22">
        <f t="shared" si="5"/>
        <v>2.9899986694978695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21"/>
  <sheetViews>
    <sheetView workbookViewId="0">
      <selection activeCell="I9" sqref="I9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18</v>
      </c>
    </row>
    <row r="2" spans="1:8" x14ac:dyDescent="0.25">
      <c r="A2" s="1">
        <v>-6311341</v>
      </c>
      <c r="B2" s="1">
        <v>12219821</v>
      </c>
      <c r="C2" s="1">
        <v>14950608</v>
      </c>
      <c r="D2" s="1">
        <v>12119821</v>
      </c>
      <c r="E2" s="1">
        <v>263374</v>
      </c>
      <c r="F2" s="1">
        <v>21261949</v>
      </c>
      <c r="G2" s="1">
        <v>12774705</v>
      </c>
      <c r="H2">
        <f>Score_altman(A2,B2,C2,D2,E2,F2,G2)</f>
        <v>4.1739169840517194</v>
      </c>
    </row>
    <row r="3" spans="1:8" x14ac:dyDescent="0.25">
      <c r="A3" s="1">
        <v>8695609</v>
      </c>
      <c r="B3" s="1">
        <v>5934684</v>
      </c>
      <c r="C3" s="1">
        <v>21803518</v>
      </c>
      <c r="D3" s="1">
        <v>5834684</v>
      </c>
      <c r="E3" s="1">
        <v>478604</v>
      </c>
      <c r="F3" s="1">
        <v>13107909</v>
      </c>
      <c r="G3" s="1">
        <v>6794410</v>
      </c>
      <c r="H3">
        <f t="shared" ref="H3:H21" si="0">Score_altman(A3,B3,C3,D3,E3,F3,G3)</f>
        <v>2.0759504603947008</v>
      </c>
    </row>
    <row r="4" spans="1:8" x14ac:dyDescent="0.25">
      <c r="A4" s="1">
        <v>11842621</v>
      </c>
      <c r="B4" s="1">
        <v>5946111</v>
      </c>
      <c r="C4" s="1">
        <v>23514900</v>
      </c>
      <c r="D4" s="1">
        <v>5846111</v>
      </c>
      <c r="E4" s="1">
        <v>445298</v>
      </c>
      <c r="F4" s="1">
        <v>11672279</v>
      </c>
      <c r="G4" s="1">
        <v>6142666</v>
      </c>
      <c r="H4">
        <f t="shared" si="0"/>
        <v>2.0626346260137094</v>
      </c>
    </row>
    <row r="5" spans="1:8" x14ac:dyDescent="0.25">
      <c r="A5" s="1">
        <v>4948429</v>
      </c>
      <c r="B5" s="1">
        <v>6452618</v>
      </c>
      <c r="C5" s="1">
        <v>23486157</v>
      </c>
      <c r="D5" s="1">
        <v>6352618</v>
      </c>
      <c r="E5" s="1">
        <v>323819</v>
      </c>
      <c r="F5" s="1">
        <v>18537728</v>
      </c>
      <c r="G5" s="1">
        <v>6902284</v>
      </c>
      <c r="H5">
        <f t="shared" si="0"/>
        <v>1.8341424759024119</v>
      </c>
    </row>
    <row r="6" spans="1:8" x14ac:dyDescent="0.25">
      <c r="A6" s="1">
        <v>-1437436</v>
      </c>
      <c r="B6" s="1">
        <v>9825695</v>
      </c>
      <c r="C6" s="1">
        <v>23468782</v>
      </c>
      <c r="D6" s="1">
        <v>9725695</v>
      </c>
      <c r="E6" s="1">
        <v>182774</v>
      </c>
      <c r="F6" s="1">
        <v>24906218</v>
      </c>
      <c r="G6" s="1">
        <v>9941860</v>
      </c>
      <c r="H6">
        <f t="shared" si="0"/>
        <v>2.3077932495717843</v>
      </c>
    </row>
    <row r="7" spans="1:8" x14ac:dyDescent="0.25">
      <c r="A7" s="1">
        <v>2658190</v>
      </c>
      <c r="B7" s="1">
        <v>5882746</v>
      </c>
      <c r="C7" s="1">
        <v>24548838</v>
      </c>
      <c r="D7" s="1">
        <v>5782746</v>
      </c>
      <c r="E7" s="1">
        <v>189074</v>
      </c>
      <c r="F7" s="1">
        <v>21890648</v>
      </c>
      <c r="G7" s="1">
        <v>6665520</v>
      </c>
      <c r="H7">
        <f t="shared" si="0"/>
        <v>1.5192087168496207</v>
      </c>
    </row>
    <row r="8" spans="1:8" x14ac:dyDescent="0.25">
      <c r="A8" s="1">
        <v>-3107811</v>
      </c>
      <c r="B8" s="1">
        <v>13189767</v>
      </c>
      <c r="C8" s="1">
        <v>15253511</v>
      </c>
      <c r="D8" s="1">
        <v>13089767</v>
      </c>
      <c r="E8" s="1">
        <v>215518</v>
      </c>
      <c r="F8" s="1">
        <v>18361322</v>
      </c>
      <c r="G8" s="1">
        <v>14021906</v>
      </c>
      <c r="H8">
        <f t="shared" si="0"/>
        <v>4.7233610434768831</v>
      </c>
    </row>
    <row r="9" spans="1:8" x14ac:dyDescent="0.25">
      <c r="A9" s="1">
        <v>-3924307</v>
      </c>
      <c r="B9" s="1">
        <v>2011386</v>
      </c>
      <c r="C9" s="1">
        <v>20764602</v>
      </c>
      <c r="D9" s="1">
        <v>1911386</v>
      </c>
      <c r="E9" s="1">
        <v>231851</v>
      </c>
      <c r="F9" s="1">
        <v>24688909</v>
      </c>
      <c r="G9" s="1">
        <v>2140499</v>
      </c>
      <c r="H9">
        <f t="shared" si="0"/>
        <v>0.32120544608455637</v>
      </c>
    </row>
    <row r="10" spans="1:8" x14ac:dyDescent="0.25">
      <c r="A10" s="1">
        <v>-299386</v>
      </c>
      <c r="B10" s="1">
        <v>9935835</v>
      </c>
      <c r="C10" s="1">
        <v>16359826</v>
      </c>
      <c r="D10" s="1">
        <v>9835835</v>
      </c>
      <c r="E10" s="1">
        <v>113945</v>
      </c>
      <c r="F10" s="1">
        <v>16659212</v>
      </c>
      <c r="G10" s="1">
        <v>10043809</v>
      </c>
      <c r="H10">
        <f t="shared" si="0"/>
        <v>3.4297470434034913</v>
      </c>
    </row>
    <row r="11" spans="1:8" x14ac:dyDescent="0.25">
      <c r="A11" s="1">
        <v>3215388</v>
      </c>
      <c r="B11" s="1">
        <v>10563993</v>
      </c>
      <c r="C11" s="1">
        <v>22907859</v>
      </c>
      <c r="D11" s="1">
        <v>10463993</v>
      </c>
      <c r="E11" s="1">
        <v>160618</v>
      </c>
      <c r="F11" s="1">
        <v>19692471</v>
      </c>
      <c r="G11" s="1">
        <v>11242611</v>
      </c>
      <c r="H11">
        <f t="shared" si="0"/>
        <v>2.8166187203413471</v>
      </c>
    </row>
    <row r="12" spans="1:8" x14ac:dyDescent="0.25">
      <c r="A12" s="1">
        <v>-1382090</v>
      </c>
      <c r="B12" s="1">
        <v>11377713</v>
      </c>
      <c r="C12" s="1">
        <v>19613743</v>
      </c>
      <c r="D12" s="1">
        <v>11277713</v>
      </c>
      <c r="E12" s="1">
        <v>436345</v>
      </c>
      <c r="F12" s="1">
        <v>20995833</v>
      </c>
      <c r="G12" s="1">
        <v>11890815</v>
      </c>
      <c r="H12">
        <f t="shared" si="0"/>
        <v>3.2431462536363722</v>
      </c>
    </row>
    <row r="13" spans="1:8" x14ac:dyDescent="0.25">
      <c r="A13" s="1">
        <v>-5527357</v>
      </c>
      <c r="B13" s="1">
        <v>2634310</v>
      </c>
      <c r="C13" s="1">
        <v>17167143</v>
      </c>
      <c r="D13" s="1">
        <v>2534310</v>
      </c>
      <c r="E13" s="1">
        <v>225513</v>
      </c>
      <c r="F13" s="1">
        <v>22694500</v>
      </c>
      <c r="G13" s="1">
        <v>3438036</v>
      </c>
      <c r="H13">
        <f t="shared" si="0"/>
        <v>0.52165808653695744</v>
      </c>
    </row>
    <row r="14" spans="1:8" x14ac:dyDescent="0.25">
      <c r="A14" s="1">
        <v>8428979</v>
      </c>
      <c r="B14" s="1">
        <v>5310524</v>
      </c>
      <c r="C14" s="1">
        <v>18437602</v>
      </c>
      <c r="D14" s="1">
        <v>5210524</v>
      </c>
      <c r="E14" s="1">
        <v>184084</v>
      </c>
      <c r="F14" s="1">
        <v>10008623</v>
      </c>
      <c r="G14" s="1">
        <v>5946934</v>
      </c>
      <c r="H14">
        <f t="shared" si="0"/>
        <v>2.2176795695351146</v>
      </c>
    </row>
    <row r="15" spans="1:8" x14ac:dyDescent="0.25">
      <c r="A15" s="1">
        <v>8631307</v>
      </c>
      <c r="B15" s="1">
        <v>4043264</v>
      </c>
      <c r="C15" s="1">
        <v>20863713</v>
      </c>
      <c r="D15" s="1">
        <v>3943264</v>
      </c>
      <c r="E15" s="1">
        <v>216505</v>
      </c>
      <c r="F15" s="1">
        <v>12232406</v>
      </c>
      <c r="G15" s="1">
        <v>5041157</v>
      </c>
      <c r="H15">
        <f t="shared" si="0"/>
        <v>1.643455818294256</v>
      </c>
    </row>
    <row r="16" spans="1:8" x14ac:dyDescent="0.25">
      <c r="A16" s="1">
        <v>-2713308</v>
      </c>
      <c r="B16" s="1">
        <v>7931167</v>
      </c>
      <c r="C16" s="1">
        <v>10681783</v>
      </c>
      <c r="D16" s="1">
        <v>7831167</v>
      </c>
      <c r="E16" s="1">
        <v>434862</v>
      </c>
      <c r="F16" s="1">
        <v>13395091</v>
      </c>
      <c r="G16" s="1">
        <v>8042661</v>
      </c>
      <c r="H16">
        <f t="shared" si="0"/>
        <v>3.9256741578419745</v>
      </c>
    </row>
    <row r="17" spans="1:8" x14ac:dyDescent="0.25">
      <c r="A17" s="1">
        <v>-9895761</v>
      </c>
      <c r="B17" s="1">
        <v>14437013</v>
      </c>
      <c r="C17" s="1">
        <v>12930169</v>
      </c>
      <c r="D17" s="1">
        <v>14337013</v>
      </c>
      <c r="E17" s="1">
        <v>351564</v>
      </c>
      <c r="F17" s="1">
        <v>22825930</v>
      </c>
      <c r="G17" s="1">
        <v>14865971</v>
      </c>
      <c r="H17">
        <f t="shared" si="0"/>
        <v>5.4616179321218636</v>
      </c>
    </row>
    <row r="18" spans="1:8" x14ac:dyDescent="0.25">
      <c r="A18" s="1">
        <v>4022732</v>
      </c>
      <c r="B18" s="1">
        <v>11162302</v>
      </c>
      <c r="C18" s="1">
        <v>20967235</v>
      </c>
      <c r="D18" s="1">
        <v>11062302</v>
      </c>
      <c r="E18" s="1">
        <v>110548</v>
      </c>
      <c r="F18" s="1">
        <v>16944503</v>
      </c>
      <c r="G18" s="1">
        <v>11673279</v>
      </c>
      <c r="H18">
        <f t="shared" si="0"/>
        <v>3.2767208417929541</v>
      </c>
    </row>
    <row r="19" spans="1:8" x14ac:dyDescent="0.25">
      <c r="A19" s="1">
        <v>-6873012</v>
      </c>
      <c r="B19" s="1">
        <v>1468236</v>
      </c>
      <c r="C19" s="1">
        <v>16714157</v>
      </c>
      <c r="D19" s="1">
        <v>1368236</v>
      </c>
      <c r="E19" s="1">
        <v>103916</v>
      </c>
      <c r="F19" s="1">
        <v>23587169</v>
      </c>
      <c r="G19" s="1">
        <v>1876747</v>
      </c>
      <c r="H19">
        <f t="shared" si="0"/>
        <v>1.4487523689651362E-2</v>
      </c>
    </row>
    <row r="20" spans="1:8" x14ac:dyDescent="0.25">
      <c r="A20" s="1">
        <v>-8261638</v>
      </c>
      <c r="B20" s="1">
        <v>11544410</v>
      </c>
      <c r="C20" s="1">
        <v>11630330</v>
      </c>
      <c r="D20" s="1">
        <v>11444410</v>
      </c>
      <c r="E20" s="1">
        <v>226878</v>
      </c>
      <c r="F20" s="1">
        <v>19891968</v>
      </c>
      <c r="G20" s="1">
        <v>11879381</v>
      </c>
      <c r="H20">
        <f t="shared" si="0"/>
        <v>4.8117166849142325</v>
      </c>
    </row>
    <row r="21" spans="1:8" x14ac:dyDescent="0.25">
      <c r="A21" s="1">
        <v>-225852</v>
      </c>
      <c r="B21" s="1">
        <v>1566182</v>
      </c>
      <c r="C21" s="1">
        <v>19721372</v>
      </c>
      <c r="D21" s="1">
        <v>1466182</v>
      </c>
      <c r="E21" s="1">
        <v>478732</v>
      </c>
      <c r="F21" s="1">
        <v>19947224</v>
      </c>
      <c r="G21" s="1">
        <v>2268761</v>
      </c>
      <c r="H21">
        <f t="shared" si="0"/>
        <v>0.47210265997456147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2765E-67FF-4FED-8F71-E5B0DD5D1CA3}">
  <sheetPr codeName="Feuil8"/>
  <dimension ref="A2:N18"/>
  <sheetViews>
    <sheetView workbookViewId="0">
      <selection activeCell="I11" sqref="I11"/>
    </sheetView>
  </sheetViews>
  <sheetFormatPr baseColWidth="10" defaultRowHeight="15" x14ac:dyDescent="0.25"/>
  <cols>
    <col min="9" max="9" width="14.85546875" customWidth="1"/>
    <col min="10" max="10" width="14" customWidth="1"/>
    <col min="11" max="11" width="13.85546875" customWidth="1"/>
    <col min="12" max="12" width="15" customWidth="1"/>
    <col min="13" max="13" width="14.140625" customWidth="1"/>
    <col min="14" max="14" width="12.7109375" customWidth="1"/>
  </cols>
  <sheetData>
    <row r="2" spans="1:14" ht="21" x14ac:dyDescent="0.35">
      <c r="D2" s="2"/>
      <c r="E2" s="2"/>
      <c r="G2" s="27" t="s">
        <v>82</v>
      </c>
    </row>
    <row r="3" spans="1:14" x14ac:dyDescent="0.25">
      <c r="B3" s="4"/>
      <c r="D3" s="26" t="s">
        <v>0</v>
      </c>
      <c r="E3" s="26" t="s">
        <v>1</v>
      </c>
      <c r="F3" s="26" t="s">
        <v>2</v>
      </c>
      <c r="G3" s="26" t="s">
        <v>3</v>
      </c>
      <c r="H3" s="26" t="s">
        <v>4</v>
      </c>
      <c r="I3" s="26" t="s">
        <v>5</v>
      </c>
      <c r="J3" s="26" t="s">
        <v>6</v>
      </c>
      <c r="K3" s="23" t="s">
        <v>18</v>
      </c>
    </row>
    <row r="4" spans="1:14" x14ac:dyDescent="0.25">
      <c r="D4" s="26">
        <v>8695609</v>
      </c>
      <c r="E4" s="26">
        <v>5934684</v>
      </c>
      <c r="F4" s="26">
        <v>21803518</v>
      </c>
      <c r="G4" s="26">
        <v>5834684</v>
      </c>
      <c r="H4" s="26">
        <v>478604</v>
      </c>
      <c r="I4" s="26">
        <v>13107909</v>
      </c>
      <c r="J4" s="26">
        <v>6794410</v>
      </c>
      <c r="K4" s="22">
        <v>2.0759504603947008</v>
      </c>
    </row>
    <row r="5" spans="1:14" x14ac:dyDescent="0.25">
      <c r="D5" s="26">
        <v>11842621</v>
      </c>
      <c r="E5" s="26">
        <v>5946111</v>
      </c>
      <c r="F5" s="26">
        <v>23514900</v>
      </c>
      <c r="G5" s="26">
        <v>5846111</v>
      </c>
      <c r="H5" s="26">
        <v>445298</v>
      </c>
      <c r="I5" s="26">
        <v>11672279</v>
      </c>
      <c r="J5" s="26">
        <v>6142666</v>
      </c>
      <c r="K5" s="22">
        <v>2.0626346260137094</v>
      </c>
    </row>
    <row r="6" spans="1:14" x14ac:dyDescent="0.25">
      <c r="D6" s="26">
        <v>4948429</v>
      </c>
      <c r="E6" s="26">
        <v>6452618</v>
      </c>
      <c r="F6" s="26">
        <v>23486157</v>
      </c>
      <c r="G6" s="26">
        <v>6352618</v>
      </c>
      <c r="H6" s="26">
        <v>323819</v>
      </c>
      <c r="I6" s="26">
        <v>18537728</v>
      </c>
      <c r="J6" s="26">
        <v>6902284</v>
      </c>
      <c r="K6" s="22">
        <v>1.8341424759024119</v>
      </c>
    </row>
    <row r="7" spans="1:14" x14ac:dyDescent="0.25">
      <c r="D7" s="26">
        <v>-1437436</v>
      </c>
      <c r="E7" s="26">
        <v>9825695</v>
      </c>
      <c r="F7" s="26">
        <v>23468782</v>
      </c>
      <c r="G7" s="26">
        <v>9725695</v>
      </c>
      <c r="H7" s="26">
        <v>182774</v>
      </c>
      <c r="I7" s="26">
        <v>24906218</v>
      </c>
      <c r="J7" s="26">
        <v>9941860</v>
      </c>
      <c r="K7" s="22">
        <v>2.3077932495717843</v>
      </c>
    </row>
    <row r="8" spans="1:14" x14ac:dyDescent="0.25">
      <c r="D8" s="26">
        <v>3215388</v>
      </c>
      <c r="E8" s="26">
        <v>10563993</v>
      </c>
      <c r="F8" s="26">
        <v>22907859</v>
      </c>
      <c r="G8" s="26">
        <v>10463993</v>
      </c>
      <c r="H8" s="26">
        <v>160618</v>
      </c>
      <c r="I8" s="26">
        <v>19692471</v>
      </c>
      <c r="J8" s="26">
        <v>11242611</v>
      </c>
      <c r="K8" s="22">
        <v>2.8166187203413471</v>
      </c>
    </row>
    <row r="9" spans="1:14" x14ac:dyDescent="0.25">
      <c r="D9" s="26">
        <v>8428979</v>
      </c>
      <c r="E9" s="26">
        <v>5310524</v>
      </c>
      <c r="F9" s="26">
        <v>18437602</v>
      </c>
      <c r="G9" s="26">
        <v>5210524</v>
      </c>
      <c r="H9" s="26">
        <v>184084</v>
      </c>
      <c r="I9" s="26">
        <v>10008623</v>
      </c>
      <c r="J9" s="26">
        <v>5946934</v>
      </c>
      <c r="K9" s="22">
        <v>2.2176795695351146</v>
      </c>
    </row>
    <row r="10" spans="1:14" x14ac:dyDescent="0.25">
      <c r="D10" s="1"/>
      <c r="E10" s="1"/>
      <c r="F10" s="1"/>
      <c r="G10" s="1"/>
      <c r="H10" s="1"/>
      <c r="I10" s="1"/>
      <c r="J10" s="1"/>
      <c r="K10" s="1"/>
    </row>
    <row r="11" spans="1:14" ht="21" x14ac:dyDescent="0.25">
      <c r="D11" s="28" t="s">
        <v>79</v>
      </c>
      <c r="E11" s="1"/>
      <c r="F11" s="1"/>
      <c r="G11" s="1"/>
      <c r="H11" s="1"/>
      <c r="I11" s="1"/>
      <c r="J11" s="1"/>
      <c r="K11" s="1"/>
    </row>
    <row r="12" spans="1:14" x14ac:dyDescent="0.25">
      <c r="A12" s="26" t="s">
        <v>0</v>
      </c>
      <c r="B12" s="26" t="s">
        <v>1</v>
      </c>
      <c r="C12" s="26" t="s">
        <v>2</v>
      </c>
      <c r="D12" s="26" t="s">
        <v>3</v>
      </c>
      <c r="E12" s="26" t="s">
        <v>4</v>
      </c>
      <c r="F12" s="26" t="s">
        <v>5</v>
      </c>
      <c r="G12" s="26" t="s">
        <v>6</v>
      </c>
      <c r="H12" s="23" t="s">
        <v>18</v>
      </c>
      <c r="I12" t="s">
        <v>22</v>
      </c>
      <c r="J12" t="s">
        <v>25</v>
      </c>
      <c r="K12" t="s">
        <v>61</v>
      </c>
      <c r="L12" t="s">
        <v>23</v>
      </c>
      <c r="M12" t="s">
        <v>24</v>
      </c>
      <c r="N12" s="22" t="s">
        <v>73</v>
      </c>
    </row>
    <row r="13" spans="1:14" x14ac:dyDescent="0.25">
      <c r="A13" s="26">
        <v>9189431.3896005768</v>
      </c>
      <c r="B13" s="26">
        <v>6203040.8936599968</v>
      </c>
      <c r="C13" s="26">
        <v>16180046.125814509</v>
      </c>
      <c r="D13" s="26">
        <v>6446101.8835124187</v>
      </c>
      <c r="E13" s="26">
        <v>479803.91763134906</v>
      </c>
      <c r="F13" s="26">
        <v>13075025.007242899</v>
      </c>
      <c r="G13" s="26">
        <v>7045401.2209507283</v>
      </c>
      <c r="H13" s="22">
        <v>2.0759504603947008</v>
      </c>
      <c r="I13" s="1">
        <f>1.2*A13/C13</f>
        <v>0.68153808597165377</v>
      </c>
      <c r="J13" s="1">
        <f>1.4*B13/C13</f>
        <v>0.53672635934385049</v>
      </c>
      <c r="K13" s="1">
        <f>3.3*D13/C13</f>
        <v>1.3147141887100235</v>
      </c>
      <c r="L13">
        <f>0.6*E13/F13</f>
        <v>2.2017728487657748E-2</v>
      </c>
      <c r="M13">
        <f>0.999*G13/C13</f>
        <v>0.43500220982067594</v>
      </c>
      <c r="N13" s="22">
        <f>SUM(I13:M13)</f>
        <v>2.9899985723338616</v>
      </c>
    </row>
    <row r="14" spans="1:14" x14ac:dyDescent="0.25">
      <c r="A14" s="26">
        <v>12709338.590024102</v>
      </c>
      <c r="B14" s="26">
        <v>6201025.6385477232</v>
      </c>
      <c r="C14" s="26">
        <v>17348233.394971911</v>
      </c>
      <c r="D14" s="26">
        <v>6426940.6274835337</v>
      </c>
      <c r="E14" s="26">
        <v>446485.79459168791</v>
      </c>
      <c r="F14" s="26">
        <v>11641122.036521211</v>
      </c>
      <c r="G14" s="26">
        <v>6336790.3500720272</v>
      </c>
      <c r="H14" s="22">
        <v>2.0626346260137094</v>
      </c>
      <c r="I14" s="1">
        <f t="shared" ref="I14:I18" si="0">1.2*A14/C14</f>
        <v>0.87912157744253216</v>
      </c>
      <c r="J14" s="1">
        <f t="shared" ref="J14:J18" si="1">1.4*B14/C14</f>
        <v>0.50042189866335196</v>
      </c>
      <c r="K14" s="1">
        <f t="shared" ref="K14:K18" si="2">3.3*D14/C14</f>
        <v>1.2225397011803345</v>
      </c>
      <c r="L14">
        <f t="shared" ref="L14:L18" si="3">0.6*E14/F14</f>
        <v>2.3012513391283754E-2</v>
      </c>
      <c r="M14">
        <f t="shared" ref="M14:M18" si="4">0.999*G14/C14</f>
        <v>0.36490479552556221</v>
      </c>
      <c r="N14" s="22">
        <f t="shared" ref="N14:N18" si="5">SUM(I14:M14)</f>
        <v>2.9900004862030647</v>
      </c>
    </row>
    <row r="15" spans="1:14" x14ac:dyDescent="0.25">
      <c r="A15" s="26">
        <v>5149810.3828432309</v>
      </c>
      <c r="B15" s="26">
        <v>6852105.6348237926</v>
      </c>
      <c r="C15" s="26">
        <v>15764285.562245047</v>
      </c>
      <c r="D15" s="26">
        <v>7265306.9627881516</v>
      </c>
      <c r="E15" s="26">
        <v>324327.19132553117</v>
      </c>
      <c r="F15" s="26">
        <v>18508616.660171043</v>
      </c>
      <c r="G15" s="26">
        <v>7228461.8955649892</v>
      </c>
      <c r="H15" s="22">
        <v>1.8341424759024119</v>
      </c>
      <c r="I15" s="1">
        <f t="shared" si="0"/>
        <v>0.39201094366193368</v>
      </c>
      <c r="J15" s="1">
        <f t="shared" si="1"/>
        <v>0.60852411299425513</v>
      </c>
      <c r="K15" s="1">
        <f t="shared" si="2"/>
        <v>1.5208753281291401</v>
      </c>
      <c r="L15">
        <f t="shared" si="3"/>
        <v>1.051382274365611E-2</v>
      </c>
      <c r="M15">
        <f t="shared" si="4"/>
        <v>0.45807552807620061</v>
      </c>
      <c r="N15" s="22">
        <f t="shared" si="5"/>
        <v>2.9899997356051857</v>
      </c>
    </row>
    <row r="16" spans="1:14" x14ac:dyDescent="0.25">
      <c r="A16" s="26">
        <v>0</v>
      </c>
      <c r="B16" s="26">
        <v>10181682.949008107</v>
      </c>
      <c r="C16" s="26">
        <v>19846592.643837307</v>
      </c>
      <c r="D16" s="26">
        <v>10547816.382171949</v>
      </c>
      <c r="E16" s="26">
        <v>182822.15836595147</v>
      </c>
      <c r="F16" s="26">
        <v>24899654.854452819</v>
      </c>
      <c r="G16" s="26">
        <v>10201924.740122441</v>
      </c>
      <c r="H16" s="22">
        <v>2.3077932495717843</v>
      </c>
      <c r="I16" s="1">
        <f t="shared" si="0"/>
        <v>0</v>
      </c>
      <c r="J16" s="1">
        <f t="shared" si="1"/>
        <v>0.71822687069851054</v>
      </c>
      <c r="K16" s="1">
        <f t="shared" si="2"/>
        <v>1.7538423187204291</v>
      </c>
      <c r="L16">
        <f t="shared" si="3"/>
        <v>4.4054142782607433E-3</v>
      </c>
      <c r="M16">
        <f t="shared" si="4"/>
        <v>0.5135250669110204</v>
      </c>
      <c r="N16" s="22">
        <f t="shared" si="5"/>
        <v>2.9899996706082206</v>
      </c>
    </row>
    <row r="17" spans="1:14" x14ac:dyDescent="0.25">
      <c r="A17" s="26">
        <v>3223660.3483708636</v>
      </c>
      <c r="B17" s="26">
        <v>10668168.370796636</v>
      </c>
      <c r="C17" s="26">
        <v>21924025.062138699</v>
      </c>
      <c r="D17" s="26">
        <v>10704922.298279261</v>
      </c>
      <c r="E17" s="26">
        <v>160630.00617723697</v>
      </c>
      <c r="F17" s="26">
        <v>19690998.992892116</v>
      </c>
      <c r="G17" s="26">
        <v>11326804.908702301</v>
      </c>
      <c r="H17" s="22">
        <v>2.8166187203413471</v>
      </c>
      <c r="I17" s="1">
        <f t="shared" si="0"/>
        <v>0.17644535650187185</v>
      </c>
      <c r="J17" s="1">
        <f t="shared" si="1"/>
        <v>0.68123602654093707</v>
      </c>
      <c r="K17" s="1">
        <f t="shared" si="2"/>
        <v>1.6113028280252963</v>
      </c>
      <c r="L17">
        <f t="shared" si="3"/>
        <v>4.8945207777996366E-3</v>
      </c>
      <c r="M17">
        <f t="shared" si="4"/>
        <v>0.51612229377235386</v>
      </c>
      <c r="N17" s="22">
        <f t="shared" si="5"/>
        <v>2.9900010256182585</v>
      </c>
    </row>
    <row r="18" spans="1:14" x14ac:dyDescent="0.25">
      <c r="A18" s="26">
        <v>8869182.5567933172</v>
      </c>
      <c r="B18" s="26">
        <v>5514380.7718852935</v>
      </c>
      <c r="C18" s="26">
        <v>14504367.552262371</v>
      </c>
      <c r="D18" s="26">
        <v>5673117.0573214535</v>
      </c>
      <c r="E18" s="26">
        <v>184275.54462196442</v>
      </c>
      <c r="F18" s="26">
        <v>9998207.9563904759</v>
      </c>
      <c r="G18" s="26">
        <v>6129354.6887079952</v>
      </c>
      <c r="H18" s="22">
        <v>2.2176795695351146</v>
      </c>
      <c r="I18" s="1">
        <f t="shared" si="0"/>
        <v>0.73378029271547918</v>
      </c>
      <c r="J18" s="1">
        <f t="shared" si="1"/>
        <v>0.53226264797979661</v>
      </c>
      <c r="K18" s="1">
        <f t="shared" si="2"/>
        <v>1.2907344095979334</v>
      </c>
      <c r="L18">
        <f t="shared" si="3"/>
        <v>1.1058514411326029E-2</v>
      </c>
      <c r="M18">
        <f t="shared" si="4"/>
        <v>0.42216424204336955</v>
      </c>
      <c r="N18" s="22">
        <f t="shared" si="5"/>
        <v>2.990000106747905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1F529FE-3AF2-4E3E-A82C-3FCD5ABA5BF1}">
            <xm:f>NOT(ISERROR(SEARCH($G$7,B3)))</xm:f>
            <xm:f>$G$7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id="{434EE97E-DE51-4FC6-9CD9-4FF83832D801}">
            <xm:f>NOT(ISERROR(SEARCH($I$8,B3)))</xm:f>
            <xm:f>$I$8</xm:f>
            <x14:dxf>
              <fill>
                <patternFill>
                  <bgColor rgb="FFFF0000"/>
                </patternFill>
              </fill>
            </x14:dxf>
          </x14:cfRule>
          <x14:cfRule type="containsText" priority="3" operator="containsText" id="{C70257F5-78E0-450C-92A7-D350D03D32E8}">
            <xm:f>NOT(ISERROR(SEARCH($G$2,B3)))</xm:f>
            <xm:f>$G$2</xm:f>
            <x14:dxf>
              <font>
                <color auto="1"/>
              </font>
              <fill>
                <patternFill>
                  <bgColor rgb="FF00B050"/>
                </patternFill>
              </fill>
            </x14:dxf>
          </x14:cfRule>
          <xm:sqref>B3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H21"/>
  <sheetViews>
    <sheetView workbookViewId="0">
      <selection activeCell="J8" sqref="J8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17</v>
      </c>
    </row>
    <row r="2" spans="1:8" x14ac:dyDescent="0.25">
      <c r="A2" s="1">
        <v>-2952448</v>
      </c>
      <c r="B2" s="1">
        <v>6526653</v>
      </c>
      <c r="C2" s="1">
        <v>17329098</v>
      </c>
      <c r="D2" s="1">
        <v>6426653</v>
      </c>
      <c r="E2" s="1">
        <v>295961</v>
      </c>
      <c r="F2" s="1">
        <v>20281546</v>
      </c>
      <c r="G2" s="1">
        <v>7420602</v>
      </c>
      <c r="H2">
        <f>Score_altman(A2,B2,C2,D2,E2,F2,G2)</f>
        <v>1.9832099234295399</v>
      </c>
    </row>
    <row r="3" spans="1:8" x14ac:dyDescent="0.25">
      <c r="A3" s="1">
        <v>1543361</v>
      </c>
      <c r="B3" s="1">
        <v>6638859</v>
      </c>
      <c r="C3" s="1">
        <v>21352018</v>
      </c>
      <c r="D3" s="1">
        <v>6538859</v>
      </c>
      <c r="E3" s="1">
        <v>223577</v>
      </c>
      <c r="F3" s="1">
        <v>19808657</v>
      </c>
      <c r="G3" s="1">
        <v>7089111</v>
      </c>
      <c r="H3">
        <f t="shared" ref="H3:H21" si="0">Score_altman(A3,B3,C3,D3,E3,F3,G3)</f>
        <v>1.8710779651298028</v>
      </c>
    </row>
    <row r="4" spans="1:8" x14ac:dyDescent="0.25">
      <c r="A4" s="1">
        <v>-5243746</v>
      </c>
      <c r="B4" s="1">
        <v>9332375</v>
      </c>
      <c r="C4" s="1">
        <v>19695101</v>
      </c>
      <c r="D4" s="1">
        <v>9232375</v>
      </c>
      <c r="E4" s="1">
        <v>494116</v>
      </c>
      <c r="F4" s="1">
        <v>24938847</v>
      </c>
      <c r="G4" s="1">
        <v>9470754</v>
      </c>
      <c r="H4">
        <f t="shared" si="0"/>
        <v>2.3830842793352702</v>
      </c>
    </row>
    <row r="5" spans="1:8" x14ac:dyDescent="0.25">
      <c r="A5" s="1">
        <v>-10634262</v>
      </c>
      <c r="B5" s="1">
        <v>6572345</v>
      </c>
      <c r="C5" s="1">
        <v>12962398</v>
      </c>
      <c r="D5" s="1">
        <v>6472345</v>
      </c>
      <c r="E5" s="1">
        <v>274535</v>
      </c>
      <c r="F5" s="1">
        <v>23596660</v>
      </c>
      <c r="G5" s="1">
        <v>7083771</v>
      </c>
      <c r="H5">
        <f t="shared" si="0"/>
        <v>1.9260387490340214</v>
      </c>
    </row>
    <row r="6" spans="1:8" x14ac:dyDescent="0.25">
      <c r="A6" s="1">
        <v>5675282</v>
      </c>
      <c r="B6" s="1">
        <v>8399156</v>
      </c>
      <c r="C6" s="1">
        <v>17984770</v>
      </c>
      <c r="D6" s="1">
        <v>8299156</v>
      </c>
      <c r="E6" s="1">
        <v>464276</v>
      </c>
      <c r="F6" s="1">
        <v>12309488</v>
      </c>
      <c r="G6" s="1">
        <v>8596679</v>
      </c>
      <c r="H6">
        <f t="shared" si="0"/>
        <v>3.0554436905480218</v>
      </c>
    </row>
    <row r="7" spans="1:8" x14ac:dyDescent="0.25">
      <c r="A7" s="1">
        <v>5912342</v>
      </c>
      <c r="B7" s="1">
        <v>13029767</v>
      </c>
      <c r="C7" s="1">
        <v>17336875</v>
      </c>
      <c r="D7" s="1">
        <v>12929767</v>
      </c>
      <c r="E7" s="1">
        <v>170608</v>
      </c>
      <c r="F7" s="1">
        <v>11424533</v>
      </c>
      <c r="G7" s="1">
        <v>13766054</v>
      </c>
      <c r="H7">
        <f t="shared" si="0"/>
        <v>4.7247464392476637</v>
      </c>
    </row>
    <row r="8" spans="1:8" x14ac:dyDescent="0.25">
      <c r="A8" s="1">
        <v>-1273462</v>
      </c>
      <c r="B8" s="1">
        <v>2532301</v>
      </c>
      <c r="C8" s="1">
        <v>14262889</v>
      </c>
      <c r="D8" s="1">
        <v>2432301</v>
      </c>
      <c r="E8" s="1">
        <v>302741</v>
      </c>
      <c r="F8" s="1">
        <v>15536351</v>
      </c>
      <c r="G8" s="1">
        <v>3461521</v>
      </c>
      <c r="H8">
        <f t="shared" si="0"/>
        <v>0.95832447319648262</v>
      </c>
    </row>
    <row r="9" spans="1:8" x14ac:dyDescent="0.25">
      <c r="A9" s="1">
        <v>-2703333</v>
      </c>
      <c r="B9" s="1">
        <v>5781080</v>
      </c>
      <c r="C9" s="1">
        <v>13847753</v>
      </c>
      <c r="D9" s="1">
        <v>5681080</v>
      </c>
      <c r="E9" s="1">
        <v>144752</v>
      </c>
      <c r="F9" s="1">
        <v>16551086</v>
      </c>
      <c r="G9" s="1">
        <v>5983331</v>
      </c>
      <c r="H9">
        <f t="shared" si="0"/>
        <v>2.1409314298837483</v>
      </c>
    </row>
    <row r="10" spans="1:8" x14ac:dyDescent="0.25">
      <c r="A10" s="1">
        <v>11531803</v>
      </c>
      <c r="B10" s="1">
        <v>13246470</v>
      </c>
      <c r="C10" s="1">
        <v>24683986</v>
      </c>
      <c r="D10" s="1">
        <v>13146470</v>
      </c>
      <c r="E10" s="1">
        <v>303524</v>
      </c>
      <c r="F10" s="1">
        <v>13152183</v>
      </c>
      <c r="G10" s="1">
        <v>13955952</v>
      </c>
      <c r="H10">
        <f t="shared" si="0"/>
        <v>3.6481288120937547</v>
      </c>
    </row>
    <row r="11" spans="1:8" x14ac:dyDescent="0.25">
      <c r="A11" s="1">
        <v>-127677</v>
      </c>
      <c r="B11" s="1">
        <v>4905012</v>
      </c>
      <c r="C11" s="1">
        <v>20800746</v>
      </c>
      <c r="D11" s="1">
        <v>4805012</v>
      </c>
      <c r="E11" s="1">
        <v>463601</v>
      </c>
      <c r="F11" s="1">
        <v>20928423</v>
      </c>
      <c r="G11" s="1">
        <v>5554072</v>
      </c>
      <c r="H11">
        <f t="shared" si="0"/>
        <v>1.3651109221808679</v>
      </c>
    </row>
    <row r="12" spans="1:8" x14ac:dyDescent="0.25">
      <c r="A12" s="1">
        <v>-1120625</v>
      </c>
      <c r="B12" s="1">
        <v>9730429</v>
      </c>
      <c r="C12" s="1">
        <v>12657304</v>
      </c>
      <c r="D12" s="1">
        <v>9630429</v>
      </c>
      <c r="E12" s="1">
        <v>416987</v>
      </c>
      <c r="F12" s="1">
        <v>13777929</v>
      </c>
      <c r="G12" s="1">
        <v>10256672</v>
      </c>
      <c r="H12">
        <f t="shared" si="0"/>
        <v>4.3085418899048795</v>
      </c>
    </row>
    <row r="13" spans="1:8" x14ac:dyDescent="0.25">
      <c r="A13" s="1">
        <v>2649626</v>
      </c>
      <c r="B13" s="1">
        <v>5619720</v>
      </c>
      <c r="C13" s="1">
        <v>16789369</v>
      </c>
      <c r="D13" s="1">
        <v>5519720</v>
      </c>
      <c r="E13" s="1">
        <v>158010</v>
      </c>
      <c r="F13" s="1">
        <v>14139743</v>
      </c>
      <c r="G13" s="1">
        <v>5972295</v>
      </c>
      <c r="H13">
        <f t="shared" si="0"/>
        <v>2.1049708039981683</v>
      </c>
    </row>
    <row r="14" spans="1:8" x14ac:dyDescent="0.25">
      <c r="A14" s="1">
        <v>190510</v>
      </c>
      <c r="B14" s="1">
        <v>701461</v>
      </c>
      <c r="C14" s="1">
        <v>15147681</v>
      </c>
      <c r="D14" s="1">
        <v>601461</v>
      </c>
      <c r="E14" s="1">
        <v>117172</v>
      </c>
      <c r="F14" s="1">
        <v>14957171</v>
      </c>
      <c r="G14" s="1">
        <v>1071900</v>
      </c>
      <c r="H14">
        <f t="shared" si="0"/>
        <v>0.28634782144339632</v>
      </c>
    </row>
    <row r="15" spans="1:8" x14ac:dyDescent="0.25">
      <c r="A15" s="1">
        <v>9346037</v>
      </c>
      <c r="B15" s="1">
        <v>13186318</v>
      </c>
      <c r="C15" s="1">
        <v>19394753</v>
      </c>
      <c r="D15" s="1">
        <v>13086318</v>
      </c>
      <c r="E15" s="1">
        <v>317675</v>
      </c>
      <c r="F15" s="1">
        <v>10048716</v>
      </c>
      <c r="G15" s="1">
        <v>13907812</v>
      </c>
      <c r="H15">
        <f t="shared" si="0"/>
        <v>4.4920772736349264</v>
      </c>
    </row>
    <row r="16" spans="1:8" x14ac:dyDescent="0.25">
      <c r="A16" s="1">
        <v>-7959666</v>
      </c>
      <c r="B16" s="1">
        <v>8159588</v>
      </c>
      <c r="C16" s="1">
        <v>12550453</v>
      </c>
      <c r="D16" s="1">
        <v>8059588</v>
      </c>
      <c r="E16" s="1">
        <v>448773</v>
      </c>
      <c r="F16" s="1">
        <v>20510119</v>
      </c>
      <c r="G16" s="1">
        <v>8465488</v>
      </c>
      <c r="H16">
        <f t="shared" si="0"/>
        <v>2.9552920128472153</v>
      </c>
    </row>
    <row r="17" spans="1:8" x14ac:dyDescent="0.25">
      <c r="A17" s="1">
        <v>-12912119</v>
      </c>
      <c r="B17" s="1">
        <v>8507030</v>
      </c>
      <c r="C17" s="1">
        <v>11007748</v>
      </c>
      <c r="D17" s="1">
        <v>8407030</v>
      </c>
      <c r="E17" s="1">
        <v>481935</v>
      </c>
      <c r="F17" s="1">
        <v>23919867</v>
      </c>
      <c r="G17" s="1">
        <v>9227676</v>
      </c>
      <c r="H17">
        <f t="shared" si="0"/>
        <v>3.0442208794755539</v>
      </c>
    </row>
    <row r="18" spans="1:8" x14ac:dyDescent="0.25">
      <c r="A18" s="1">
        <v>5220520</v>
      </c>
      <c r="B18" s="1">
        <v>3143929</v>
      </c>
      <c r="C18" s="1">
        <v>21746643</v>
      </c>
      <c r="D18" s="1">
        <v>3043929</v>
      </c>
      <c r="E18" s="1">
        <v>278393</v>
      </c>
      <c r="F18" s="1">
        <v>16526123</v>
      </c>
      <c r="G18" s="1">
        <v>4047922</v>
      </c>
      <c r="H18">
        <f t="shared" si="0"/>
        <v>1.1484423052098423</v>
      </c>
    </row>
    <row r="19" spans="1:8" x14ac:dyDescent="0.25">
      <c r="A19" s="1">
        <v>-3704886</v>
      </c>
      <c r="B19" s="1">
        <v>7581114</v>
      </c>
      <c r="C19" s="1">
        <v>20640504</v>
      </c>
      <c r="D19" s="1">
        <v>7481114</v>
      </c>
      <c r="E19" s="1">
        <v>223073</v>
      </c>
      <c r="F19" s="1">
        <v>24345390</v>
      </c>
      <c r="G19" s="1">
        <v>7889934</v>
      </c>
      <c r="H19">
        <f>Score_altman(A19,B19,C19,D19,E19,F19,G19)</f>
        <v>1.8822647010704068</v>
      </c>
    </row>
    <row r="20" spans="1:8" x14ac:dyDescent="0.25">
      <c r="A20" s="1">
        <v>1331058</v>
      </c>
      <c r="B20" s="1">
        <v>5193889</v>
      </c>
      <c r="C20" s="1">
        <v>15605653</v>
      </c>
      <c r="D20" s="1">
        <v>5093889</v>
      </c>
      <c r="E20" s="1">
        <v>260482</v>
      </c>
      <c r="F20" s="1">
        <v>14274595</v>
      </c>
      <c r="G20" s="1">
        <v>5580003</v>
      </c>
      <c r="H20">
        <f t="shared" si="0"/>
        <v>2.0136186252210755</v>
      </c>
    </row>
    <row r="21" spans="1:8" x14ac:dyDescent="0.25">
      <c r="A21" s="1">
        <v>575770</v>
      </c>
      <c r="B21" s="1">
        <v>5416779</v>
      </c>
      <c r="C21" s="1">
        <v>15557689</v>
      </c>
      <c r="D21" s="1">
        <v>5316779</v>
      </c>
      <c r="E21" s="1">
        <v>406955</v>
      </c>
      <c r="F21" s="1">
        <v>14981919</v>
      </c>
      <c r="G21" s="1">
        <v>5874074</v>
      </c>
      <c r="H21">
        <f t="shared" si="0"/>
        <v>2.0531032620885483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5294A-77AE-45EA-BF25-5331D07982DF}">
  <sheetPr codeName="Feuil12"/>
  <dimension ref="A1:N26"/>
  <sheetViews>
    <sheetView topLeftCell="A6" workbookViewId="0">
      <selection activeCell="N16" sqref="N16:N26"/>
    </sheetView>
  </sheetViews>
  <sheetFormatPr baseColWidth="10" defaultRowHeight="15" x14ac:dyDescent="0.25"/>
  <cols>
    <col min="8" max="8" width="13.7109375" customWidth="1"/>
    <col min="9" max="9" width="14.5703125" customWidth="1"/>
    <col min="10" max="10" width="14.28515625" customWidth="1"/>
    <col min="11" max="11" width="13.5703125" customWidth="1"/>
    <col min="12" max="12" width="14.7109375" customWidth="1"/>
    <col min="13" max="13" width="14.5703125" customWidth="1"/>
    <col min="14" max="14" width="12.5703125" customWidth="1"/>
  </cols>
  <sheetData>
    <row r="1" spans="1:14" ht="23.25" x14ac:dyDescent="0.35">
      <c r="C1" s="15" t="s">
        <v>75</v>
      </c>
    </row>
    <row r="2" spans="1:14" x14ac:dyDescent="0.25">
      <c r="A2" s="16" t="s">
        <v>0</v>
      </c>
      <c r="B2" s="16" t="s">
        <v>1</v>
      </c>
      <c r="C2" s="16" t="s">
        <v>2</v>
      </c>
      <c r="D2" s="16" t="s">
        <v>3</v>
      </c>
      <c r="E2" s="16" t="s">
        <v>4</v>
      </c>
      <c r="F2" s="16" t="s">
        <v>5</v>
      </c>
      <c r="G2" s="16" t="s">
        <v>6</v>
      </c>
      <c r="H2" s="17" t="s">
        <v>17</v>
      </c>
    </row>
    <row r="3" spans="1:14" x14ac:dyDescent="0.25">
      <c r="A3" s="16">
        <v>-2952448</v>
      </c>
      <c r="B3" s="16">
        <v>6526653</v>
      </c>
      <c r="C3" s="16">
        <v>17329098</v>
      </c>
      <c r="D3" s="16">
        <v>6426653</v>
      </c>
      <c r="E3" s="16">
        <v>295961</v>
      </c>
      <c r="F3" s="16">
        <v>20281546</v>
      </c>
      <c r="G3" s="16">
        <v>7420602</v>
      </c>
      <c r="H3" s="18">
        <v>1.9832099234295399</v>
      </c>
    </row>
    <row r="4" spans="1:14" x14ac:dyDescent="0.25">
      <c r="A4" s="16">
        <v>1543361</v>
      </c>
      <c r="B4" s="16">
        <v>6638859</v>
      </c>
      <c r="C4" s="16">
        <v>21352018</v>
      </c>
      <c r="D4" s="16">
        <v>6538859</v>
      </c>
      <c r="E4" s="16">
        <v>223577</v>
      </c>
      <c r="F4" s="16">
        <v>19808657</v>
      </c>
      <c r="G4" s="16">
        <v>7089111</v>
      </c>
      <c r="H4" s="18">
        <v>1.8710779651298028</v>
      </c>
    </row>
    <row r="5" spans="1:14" x14ac:dyDescent="0.25">
      <c r="A5" s="16">
        <v>-5243746</v>
      </c>
      <c r="B5" s="16">
        <v>9332375</v>
      </c>
      <c r="C5" s="16">
        <v>19695101</v>
      </c>
      <c r="D5" s="16">
        <v>9232375</v>
      </c>
      <c r="E5" s="16">
        <v>494116</v>
      </c>
      <c r="F5" s="16">
        <v>24938847</v>
      </c>
      <c r="G5" s="16">
        <v>9470754</v>
      </c>
      <c r="H5" s="18">
        <v>2.3830842793352702</v>
      </c>
    </row>
    <row r="6" spans="1:14" x14ac:dyDescent="0.25">
      <c r="A6" s="16">
        <v>-10634262</v>
      </c>
      <c r="B6" s="16">
        <v>6572345</v>
      </c>
      <c r="C6" s="16">
        <v>12962398</v>
      </c>
      <c r="D6" s="16">
        <v>6472345</v>
      </c>
      <c r="E6" s="16">
        <v>274535</v>
      </c>
      <c r="F6" s="16">
        <v>23596660</v>
      </c>
      <c r="G6" s="16">
        <v>7083771</v>
      </c>
      <c r="H6" s="18">
        <v>1.9260387490340214</v>
      </c>
    </row>
    <row r="7" spans="1:14" x14ac:dyDescent="0.25">
      <c r="A7" s="16">
        <v>-2703333</v>
      </c>
      <c r="B7" s="16">
        <v>5781080</v>
      </c>
      <c r="C7" s="16">
        <v>13847753</v>
      </c>
      <c r="D7" s="16">
        <v>5681080</v>
      </c>
      <c r="E7" s="16">
        <v>144752</v>
      </c>
      <c r="F7" s="16">
        <v>16551086</v>
      </c>
      <c r="G7" s="16">
        <v>5983331</v>
      </c>
      <c r="H7" s="18">
        <v>2.1409314298837483</v>
      </c>
    </row>
    <row r="8" spans="1:14" x14ac:dyDescent="0.25">
      <c r="A8" s="16">
        <v>2649626</v>
      </c>
      <c r="B8" s="16">
        <v>5619720</v>
      </c>
      <c r="C8" s="16">
        <v>16789369</v>
      </c>
      <c r="D8" s="16">
        <v>5519720</v>
      </c>
      <c r="E8" s="16">
        <v>158010</v>
      </c>
      <c r="F8" s="16">
        <v>14139743</v>
      </c>
      <c r="G8" s="16">
        <v>5972295</v>
      </c>
      <c r="H8" s="18">
        <v>2.1049708039981683</v>
      </c>
    </row>
    <row r="9" spans="1:14" x14ac:dyDescent="0.25">
      <c r="A9" s="16">
        <v>-7959666</v>
      </c>
      <c r="B9" s="16">
        <v>8159588</v>
      </c>
      <c r="C9" s="16">
        <v>12550453</v>
      </c>
      <c r="D9" s="16">
        <v>8059588</v>
      </c>
      <c r="E9" s="16">
        <v>448773</v>
      </c>
      <c r="F9" s="16">
        <v>20510119</v>
      </c>
      <c r="G9" s="16">
        <v>8465488</v>
      </c>
      <c r="H9" s="18">
        <v>2.9552920128472153</v>
      </c>
    </row>
    <row r="10" spans="1:14" x14ac:dyDescent="0.25">
      <c r="A10" s="16">
        <v>-3704886</v>
      </c>
      <c r="B10" s="16">
        <v>7581114</v>
      </c>
      <c r="C10" s="16">
        <v>20640504</v>
      </c>
      <c r="D10" s="16">
        <v>7481114</v>
      </c>
      <c r="E10" s="16">
        <v>223073</v>
      </c>
      <c r="F10" s="16">
        <v>24345390</v>
      </c>
      <c r="G10" s="16">
        <v>7889934</v>
      </c>
      <c r="H10" s="18">
        <v>1.8822647010704068</v>
      </c>
    </row>
    <row r="11" spans="1:14" x14ac:dyDescent="0.25">
      <c r="A11" s="16">
        <v>1331058</v>
      </c>
      <c r="B11" s="16">
        <v>5193889</v>
      </c>
      <c r="C11" s="16">
        <v>15605653</v>
      </c>
      <c r="D11" s="16">
        <v>5093889</v>
      </c>
      <c r="E11" s="16">
        <v>260482</v>
      </c>
      <c r="F11" s="16">
        <v>14274595</v>
      </c>
      <c r="G11" s="16">
        <v>5580003</v>
      </c>
      <c r="H11" s="18">
        <v>2.0136186252210755</v>
      </c>
    </row>
    <row r="12" spans="1:14" x14ac:dyDescent="0.25">
      <c r="A12" s="16">
        <v>575770</v>
      </c>
      <c r="B12" s="16">
        <v>5416779</v>
      </c>
      <c r="C12" s="16">
        <v>15557689</v>
      </c>
      <c r="D12" s="16">
        <v>5316779</v>
      </c>
      <c r="E12" s="16">
        <v>406955</v>
      </c>
      <c r="F12" s="16">
        <v>14981919</v>
      </c>
      <c r="G12" s="16">
        <v>5874074</v>
      </c>
      <c r="H12" s="18">
        <v>2.0531032620885483</v>
      </c>
    </row>
    <row r="13" spans="1:14" x14ac:dyDescent="0.25">
      <c r="A13" s="1"/>
      <c r="B13" s="1"/>
      <c r="C13" s="1"/>
      <c r="D13" s="1"/>
      <c r="E13" s="1"/>
      <c r="F13" s="1"/>
      <c r="G13" s="1"/>
    </row>
    <row r="14" spans="1:14" x14ac:dyDescent="0.25">
      <c r="A14" s="1"/>
      <c r="B14" s="1"/>
      <c r="C14" s="1"/>
      <c r="D14" s="1"/>
      <c r="E14" s="1"/>
      <c r="F14" s="1"/>
      <c r="G14" s="1"/>
    </row>
    <row r="15" spans="1:14" ht="23.25" x14ac:dyDescent="0.25">
      <c r="A15" s="1"/>
      <c r="B15" s="19" t="s">
        <v>74</v>
      </c>
      <c r="C15" s="1"/>
      <c r="D15" s="1"/>
      <c r="E15" s="1"/>
      <c r="F15" s="1"/>
      <c r="G15" s="1"/>
    </row>
    <row r="16" spans="1:14" ht="15.75" x14ac:dyDescent="0.25">
      <c r="A16" s="20" t="s">
        <v>0</v>
      </c>
      <c r="B16" s="20" t="s">
        <v>1</v>
      </c>
      <c r="C16" s="20" t="s">
        <v>2</v>
      </c>
      <c r="D16" s="20" t="s">
        <v>3</v>
      </c>
      <c r="E16" s="20" t="s">
        <v>4</v>
      </c>
      <c r="F16" s="20" t="s">
        <v>5</v>
      </c>
      <c r="G16" s="20" t="s">
        <v>6</v>
      </c>
      <c r="H16" s="17" t="s">
        <v>17</v>
      </c>
      <c r="I16" t="s">
        <v>22</v>
      </c>
      <c r="J16" t="s">
        <v>25</v>
      </c>
      <c r="K16" t="s">
        <v>61</v>
      </c>
      <c r="L16" t="s">
        <v>23</v>
      </c>
      <c r="M16" t="s">
        <v>24</v>
      </c>
      <c r="N16" s="29" t="s">
        <v>73</v>
      </c>
    </row>
    <row r="17" spans="1:14" ht="15.75" x14ac:dyDescent="0.25">
      <c r="A17" s="20">
        <v>0</v>
      </c>
      <c r="B17" s="20">
        <v>6850950.3652732586</v>
      </c>
      <c r="C17" s="20">
        <v>13738349.433270738</v>
      </c>
      <c r="D17" s="20">
        <v>7167823.2694337843</v>
      </c>
      <c r="E17" s="20">
        <v>296203.92773799191</v>
      </c>
      <c r="F17" s="20">
        <v>20264898.179093111</v>
      </c>
      <c r="G17" s="20">
        <v>7719744.4892778574</v>
      </c>
      <c r="H17" s="18">
        <v>1.9832099234295399</v>
      </c>
      <c r="I17">
        <f>1.2*A17/C17</f>
        <v>0</v>
      </c>
      <c r="J17">
        <f>1.4*B17/C17</f>
        <v>0.69814285609556803</v>
      </c>
      <c r="K17">
        <f>3.3*D17/C17</f>
        <v>1.7217364359540928</v>
      </c>
      <c r="L17">
        <f>0.6*E17/F17</f>
        <v>8.7699605037319037E-3</v>
      </c>
      <c r="M17">
        <f>0.999*G17/C17</f>
        <v>0.56135016671741111</v>
      </c>
      <c r="N17" s="29">
        <f>SUM(I17:M17)</f>
        <v>2.9899994192708035</v>
      </c>
    </row>
    <row r="18" spans="1:14" ht="15.75" x14ac:dyDescent="0.25">
      <c r="A18" s="20">
        <v>1563491.6291829746</v>
      </c>
      <c r="B18" s="20">
        <v>7073425.2443869095</v>
      </c>
      <c r="C18" s="20">
        <v>14773230.532039318</v>
      </c>
      <c r="D18" s="20">
        <v>7532567.3446399495</v>
      </c>
      <c r="E18" s="20">
        <v>223791.67014215447</v>
      </c>
      <c r="F18" s="20">
        <v>19789630.789042145</v>
      </c>
      <c r="G18" s="20">
        <v>7442692.9696727339</v>
      </c>
      <c r="H18" s="18">
        <v>1.8710779651298028</v>
      </c>
      <c r="I18">
        <f t="shared" ref="I18:I26" si="0">1.2*A18/C18</f>
        <v>0.12699930126661182</v>
      </c>
      <c r="J18">
        <f t="shared" ref="J18:J26" si="1">1.4*B18/C18</f>
        <v>0.67032023365946058</v>
      </c>
      <c r="K18">
        <f t="shared" ref="K18:K26" si="2">3.3*D18/C18</f>
        <v>1.6826023382903557</v>
      </c>
      <c r="L18">
        <f t="shared" ref="L18:L26" si="3">0.6*E18/F18</f>
        <v>6.7851191119565014E-3</v>
      </c>
      <c r="M18">
        <f t="shared" ref="M18:M26" si="4">0.999*G18/C18</f>
        <v>0.50329210395640445</v>
      </c>
      <c r="N18" s="29">
        <f t="shared" ref="N18:N26" si="5">SUM(I18:M18)</f>
        <v>2.9899990962847891</v>
      </c>
    </row>
    <row r="19" spans="1:14" ht="15.75" x14ac:dyDescent="0.25">
      <c r="A19" s="20">
        <v>0</v>
      </c>
      <c r="B19" s="20">
        <v>9493009.0024928823</v>
      </c>
      <c r="C19" s="20">
        <v>18320095.01377691</v>
      </c>
      <c r="D19" s="20">
        <v>9602941.306384068</v>
      </c>
      <c r="E19" s="20">
        <v>494268.41089978768</v>
      </c>
      <c r="F19" s="20">
        <v>24931154.586356465</v>
      </c>
      <c r="G19" s="20">
        <v>9588802.2915288322</v>
      </c>
      <c r="H19" s="18">
        <v>2.3830842793352702</v>
      </c>
      <c r="I19">
        <f t="shared" si="0"/>
        <v>0</v>
      </c>
      <c r="J19">
        <f t="shared" si="1"/>
        <v>0.72544452381364022</v>
      </c>
      <c r="K19">
        <f t="shared" si="2"/>
        <v>1.7297784911724758</v>
      </c>
      <c r="L19">
        <f t="shared" si="3"/>
        <v>1.1895199057574539E-2</v>
      </c>
      <c r="M19">
        <f t="shared" si="4"/>
        <v>0.52288012054706212</v>
      </c>
      <c r="N19" s="29">
        <f t="shared" si="5"/>
        <v>2.9899983345907524</v>
      </c>
    </row>
    <row r="20" spans="1:14" ht="15.75" x14ac:dyDescent="0.25">
      <c r="A20" s="20">
        <v>63296.036621014558</v>
      </c>
      <c r="B20" s="20">
        <v>6600551.5047869952</v>
      </c>
      <c r="C20" s="20">
        <v>12734848.090721803</v>
      </c>
      <c r="D20" s="20">
        <v>6536823.9298358848</v>
      </c>
      <c r="E20" s="20">
        <v>274546.58676088438</v>
      </c>
      <c r="F20" s="20">
        <v>23595664.103920538</v>
      </c>
      <c r="G20" s="20">
        <v>7107152.6448072372</v>
      </c>
      <c r="H20" s="18">
        <v>1.9260387490340214</v>
      </c>
      <c r="I20">
        <f t="shared" si="0"/>
        <v>5.9643619934937426E-3</v>
      </c>
      <c r="J20">
        <f t="shared" si="1"/>
        <v>0.72562876611259464</v>
      </c>
      <c r="K20">
        <f t="shared" si="2"/>
        <v>1.6938968423325542</v>
      </c>
      <c r="L20">
        <f t="shared" si="3"/>
        <v>6.9812806001573928E-3</v>
      </c>
      <c r="M20">
        <f t="shared" si="4"/>
        <v>0.55752887208252544</v>
      </c>
      <c r="N20" s="29">
        <f t="shared" si="5"/>
        <v>2.9900001231213253</v>
      </c>
    </row>
    <row r="21" spans="1:14" ht="15.75" x14ac:dyDescent="0.25">
      <c r="A21" s="20">
        <v>0</v>
      </c>
      <c r="B21" s="20">
        <v>5993051.950537445</v>
      </c>
      <c r="C21" s="20">
        <v>11682503.904769562</v>
      </c>
      <c r="D21" s="20">
        <v>6163592.0275300527</v>
      </c>
      <c r="E21" s="20">
        <v>144798.09541249665</v>
      </c>
      <c r="F21" s="20">
        <v>16545814.704393851</v>
      </c>
      <c r="G21" s="20">
        <v>6145356.7108673099</v>
      </c>
      <c r="H21" s="18">
        <v>2.1409314298837483</v>
      </c>
      <c r="I21">
        <f t="shared" si="0"/>
        <v>0</v>
      </c>
      <c r="J21">
        <f t="shared" si="1"/>
        <v>0.71819130548948207</v>
      </c>
      <c r="K21">
        <f t="shared" si="2"/>
        <v>1.7410525908358665</v>
      </c>
      <c r="L21">
        <f t="shared" si="3"/>
        <v>5.2508056447910503E-3</v>
      </c>
      <c r="M21">
        <f t="shared" si="4"/>
        <v>0.52550475516212025</v>
      </c>
      <c r="N21" s="29">
        <f t="shared" si="5"/>
        <v>2.9899994571322597</v>
      </c>
    </row>
    <row r="22" spans="1:14" ht="15.75" x14ac:dyDescent="0.25">
      <c r="A22" s="20">
        <v>2704512.6903524273</v>
      </c>
      <c r="B22" s="20">
        <v>5907774.0856620576</v>
      </c>
      <c r="C22" s="20">
        <v>12768216.209750643</v>
      </c>
      <c r="D22" s="20">
        <v>6174755.3054039795</v>
      </c>
      <c r="E22" s="20">
        <v>158122.91284567711</v>
      </c>
      <c r="F22" s="20">
        <v>14129637.493319983</v>
      </c>
      <c r="G22" s="20">
        <v>6204442.848465763</v>
      </c>
      <c r="H22" s="18">
        <v>2.1049708039981683</v>
      </c>
      <c r="I22">
        <f t="shared" si="0"/>
        <v>0.25417921932936111</v>
      </c>
      <c r="J22">
        <f t="shared" si="1"/>
        <v>0.64777127705675075</v>
      </c>
      <c r="K22">
        <f t="shared" si="2"/>
        <v>1.5958918750351485</v>
      </c>
      <c r="L22">
        <f t="shared" si="3"/>
        <v>6.7145210025564622E-3</v>
      </c>
      <c r="M22">
        <f t="shared" si="4"/>
        <v>0.48544278259354023</v>
      </c>
      <c r="N22" s="29">
        <f t="shared" si="5"/>
        <v>2.9899996750173568</v>
      </c>
    </row>
    <row r="23" spans="1:14" ht="15.75" x14ac:dyDescent="0.25">
      <c r="A23" s="20">
        <v>0</v>
      </c>
      <c r="B23" s="20">
        <v>7838445.0510538984</v>
      </c>
      <c r="C23" s="20">
        <v>14560153.39318181</v>
      </c>
      <c r="D23" s="20">
        <v>7321048.8399629388</v>
      </c>
      <c r="E23" s="20">
        <v>448518.24083506549</v>
      </c>
      <c r="F23" s="20">
        <v>20521762.147833012</v>
      </c>
      <c r="G23" s="20">
        <v>8218825.3538702168</v>
      </c>
      <c r="H23" s="18">
        <v>2.9552920128472153</v>
      </c>
      <c r="I23">
        <f t="shared" si="0"/>
        <v>0</v>
      </c>
      <c r="J23">
        <f t="shared" si="1"/>
        <v>0.75368869922855686</v>
      </c>
      <c r="K23">
        <f t="shared" si="2"/>
        <v>1.6592861709266762</v>
      </c>
      <c r="L23">
        <f t="shared" si="3"/>
        <v>1.31134423331895E-2</v>
      </c>
      <c r="M23">
        <f t="shared" si="4"/>
        <v>0.56390934262829862</v>
      </c>
      <c r="N23" s="29">
        <f t="shared" si="5"/>
        <v>2.9899976551167207</v>
      </c>
    </row>
    <row r="24" spans="1:14" ht="15.75" x14ac:dyDescent="0.25">
      <c r="A24" s="20">
        <v>0</v>
      </c>
      <c r="B24" s="20">
        <v>7998972.6815680638</v>
      </c>
      <c r="C24" s="20">
        <v>15833857.074387982</v>
      </c>
      <c r="D24" s="20">
        <v>8440253.672031356</v>
      </c>
      <c r="E24" s="20">
        <v>223201.61906410794</v>
      </c>
      <c r="F24" s="20">
        <v>24331351.69655792</v>
      </c>
      <c r="G24" s="20">
        <v>8212893.1394354133</v>
      </c>
      <c r="H24" s="18">
        <v>1.8822647010704068</v>
      </c>
      <c r="I24">
        <f t="shared" si="0"/>
        <v>0</v>
      </c>
      <c r="J24">
        <f t="shared" si="1"/>
        <v>0.70725418965095332</v>
      </c>
      <c r="K24">
        <f t="shared" si="2"/>
        <v>1.7590683676661933</v>
      </c>
      <c r="L24">
        <f t="shared" si="3"/>
        <v>5.5040497999710447E-3</v>
      </c>
      <c r="M24">
        <f t="shared" si="4"/>
        <v>0.51817319101404791</v>
      </c>
      <c r="N24" s="29">
        <f t="shared" si="5"/>
        <v>2.9899997981311657</v>
      </c>
    </row>
    <row r="25" spans="1:14" ht="15.75" x14ac:dyDescent="0.25">
      <c r="A25" s="20">
        <v>1347937.8688106996</v>
      </c>
      <c r="B25" s="20">
        <v>5493741.1971533727</v>
      </c>
      <c r="C25" s="20">
        <v>11474635.184021939</v>
      </c>
      <c r="D25" s="20">
        <v>5773729.0871272599</v>
      </c>
      <c r="E25" s="20">
        <v>260821.71208128703</v>
      </c>
      <c r="F25" s="20">
        <v>14255971.992032757</v>
      </c>
      <c r="G25" s="20">
        <v>5826963.915130306</v>
      </c>
      <c r="H25" s="18">
        <v>2.0136186252210755</v>
      </c>
      <c r="I25">
        <f t="shared" si="0"/>
        <v>0.1409653044852521</v>
      </c>
      <c r="J25">
        <f t="shared" si="1"/>
        <v>0.67028167368009428</v>
      </c>
      <c r="K25">
        <f t="shared" si="2"/>
        <v>1.6604716125573278</v>
      </c>
      <c r="L25">
        <f t="shared" si="3"/>
        <v>1.0977366351184721E-2</v>
      </c>
      <c r="M25">
        <f t="shared" si="4"/>
        <v>0.50730475155505794</v>
      </c>
      <c r="N25" s="29">
        <f t="shared" si="5"/>
        <v>2.9900007086289166</v>
      </c>
    </row>
    <row r="26" spans="1:14" ht="15.75" x14ac:dyDescent="0.25">
      <c r="A26" s="20">
        <v>578748.41702613817</v>
      </c>
      <c r="B26" s="20">
        <v>5724329.520243668</v>
      </c>
      <c r="C26" s="20">
        <v>11664066.201138312</v>
      </c>
      <c r="D26" s="20">
        <v>6015200.1207914231</v>
      </c>
      <c r="E26" s="20">
        <v>407703.45040376578</v>
      </c>
      <c r="F26" s="20">
        <v>14954353.621135691</v>
      </c>
      <c r="G26" s="20">
        <v>6132151.7172964523</v>
      </c>
      <c r="H26" s="18">
        <v>2.0531032620885483</v>
      </c>
      <c r="I26">
        <f t="shared" si="0"/>
        <v>5.9541680273007089E-2</v>
      </c>
      <c r="J26">
        <f t="shared" si="1"/>
        <v>0.68707268890149409</v>
      </c>
      <c r="K26">
        <f t="shared" si="2"/>
        <v>1.7018216508985942</v>
      </c>
      <c r="L26">
        <f t="shared" si="3"/>
        <v>1.6357916660237563E-2</v>
      </c>
      <c r="M26">
        <f t="shared" si="4"/>
        <v>0.52520445785718439</v>
      </c>
      <c r="N26" s="29">
        <f t="shared" si="5"/>
        <v>2.9899983945905175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heatmap</vt:lpstr>
      <vt:lpstr>appreciation dossiers</vt:lpstr>
      <vt:lpstr>A</vt:lpstr>
      <vt:lpstr>rejet zone A</vt:lpstr>
      <vt:lpstr>prediction zone A</vt:lpstr>
      <vt:lpstr>Rapport de solution 1</vt:lpstr>
      <vt:lpstr>Rapport de solution 2</vt:lpstr>
      <vt:lpstr>B</vt:lpstr>
      <vt:lpstr>rejet zone B</vt:lpstr>
      <vt:lpstr>prediction zone B</vt:lpstr>
      <vt:lpstr>C</vt:lpstr>
      <vt:lpstr>rejt zone C et prediction</vt:lpstr>
      <vt:lpstr>D</vt:lpstr>
      <vt:lpstr>rejet zone D et prediction</vt:lpstr>
      <vt:lpstr>E</vt:lpstr>
      <vt:lpstr>rejet zone E et prediction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Sokhna</dc:creator>
  <cp:lastModifiedBy>HP PC</cp:lastModifiedBy>
  <dcterms:created xsi:type="dcterms:W3CDTF">2020-02-19T21:19:23Z</dcterms:created>
  <dcterms:modified xsi:type="dcterms:W3CDTF">2020-02-29T20:55:23Z</dcterms:modified>
</cp:coreProperties>
</file>